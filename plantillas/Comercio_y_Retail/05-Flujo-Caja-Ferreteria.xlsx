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FERRETERIA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30000</v>
      </c>
      <c r="C5" s="8" t="n">
        <v>730000</v>
      </c>
      <c r="E5" s="9" t="n">
        <v>511000</v>
      </c>
      <c r="G5" s="10" t="n">
        <v>249000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49632</v>
      </c>
      <c r="C10" s="14" t="n">
        <v>38280</v>
      </c>
      <c r="D10" s="14">
        <f>B10-C10</f>
        <v/>
      </c>
      <c r="E10" s="14">
        <f>D10+30000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58857</v>
      </c>
      <c r="C11" s="16" t="n">
        <v>49779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69195</v>
      </c>
      <c r="C12" s="14" t="n">
        <v>50205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66984</v>
      </c>
      <c r="C13" s="16" t="n">
        <v>39191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59038</v>
      </c>
      <c r="C14" s="14" t="n">
        <v>35424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70568</v>
      </c>
      <c r="C15" s="16" t="n">
        <v>45895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48617</v>
      </c>
      <c r="C16" s="14" t="n">
        <v>43549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70402</v>
      </c>
      <c r="C17" s="16" t="n">
        <v>46422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54574</v>
      </c>
      <c r="C18" s="14" t="n">
        <v>41336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52682</v>
      </c>
      <c r="C19" s="16" t="n">
        <v>48855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71923</v>
      </c>
      <c r="C20" s="14" t="n">
        <v>41578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69333</v>
      </c>
      <c r="C21" s="16" t="n">
        <v>38396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178850</v>
      </c>
    </row>
    <row r="42">
      <c r="A42" t="inlineStr">
        <is>
          <t>Alquiler</t>
        </is>
      </c>
      <c r="B42" t="n">
        <v>102200</v>
      </c>
    </row>
    <row r="43">
      <c r="A43" t="inlineStr">
        <is>
          <t>Insumos</t>
        </is>
      </c>
      <c r="B43" t="n">
        <v>91980</v>
      </c>
    </row>
    <row r="44">
      <c r="A44" t="inlineStr">
        <is>
          <t>Servicios</t>
        </is>
      </c>
      <c r="B44" t="n">
        <v>61320</v>
      </c>
    </row>
    <row r="45">
      <c r="A45" t="inlineStr">
        <is>
          <t>Marketing</t>
        </is>
      </c>
      <c r="B45" t="n">
        <v>40880</v>
      </c>
    </row>
    <row r="46">
      <c r="A46" t="inlineStr">
        <is>
          <t>Otros</t>
        </is>
      </c>
      <c r="B46" t="n">
        <v>35770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