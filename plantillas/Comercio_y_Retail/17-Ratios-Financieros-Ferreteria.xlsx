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tios Financier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</fonts>
  <fills count="8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00CEC9"/>
        <bgColor rgb="0000CEC9"/>
      </patternFill>
    </fill>
    <fill>
      <patternFill patternType="solid">
        <fgColor rgb="0000B894"/>
        <bgColor rgb="0000B894"/>
      </patternFill>
    </fill>
    <fill>
      <patternFill patternType="solid">
        <fgColor rgb="000984E3"/>
        <bgColor rgb="000984E3"/>
      </patternFill>
    </fill>
    <fill>
      <patternFill patternType="solid">
        <fgColor rgb="00E17055"/>
        <bgColor rgb="00E17055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3" fontId="7" fillId="7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0" fontId="6" fillId="2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Actual vs Anterior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'Ratios Financieros'!B9</f>
            </strRef>
          </tx>
          <spPr>
            <a:solidFill>
              <a:srgbClr val="00B894"/>
            </a:solidFill>
            <a:ln>
              <a:prstDash val="solid"/>
            </a:ln>
          </spPr>
          <cat>
            <numRef>
              <f>'Ratios Financieros'!$A$10:$A$17</f>
            </numRef>
          </cat>
          <val>
            <numRef>
              <f>'Ratios Financieros'!$B$10:$B$17</f>
            </numRef>
          </val>
        </ser>
        <ser>
          <idx val="1"/>
          <order val="1"/>
          <tx>
            <strRef>
              <f>'Ratios Financieros'!C9</f>
            </strRef>
          </tx>
          <spPr>
            <a:solidFill>
              <a:srgbClr val="0984E3"/>
            </a:solidFill>
            <a:ln>
              <a:prstDash val="solid"/>
            </a:ln>
          </spPr>
          <cat>
            <numRef>
              <f>'Ratios Financieros'!$A$10:$A$17</f>
            </numRef>
          </cat>
          <val>
            <numRef>
              <f>'Ratios Financieros'!$C$10:$C$17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Distribucion</a:t>
            </a:r>
          </a:p>
        </rich>
      </tx>
    </title>
    <plotArea>
      <pieChart>
        <varyColors val="1"/>
        <ser>
          <idx val="0"/>
          <order val="0"/>
          <tx>
            <strRef>
              <f>'Ratios Financieros'!B24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'Ratios Financieros'!$A$25:$A$30</f>
            </numRef>
          </cat>
          <val>
            <numRef>
              <f>'Ratios Financieros'!$B$25:$B$30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10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3</col>
      <colOff>0</colOff>
      <row>23</row>
      <rowOff>0</rowOff>
    </from>
    <ext cx="504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00CEC9"/>
    <outlinePr summaryBelow="1" summaryRight="1"/>
    <pageSetUpPr/>
  </sheetPr>
  <dimension ref="A1:H30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📊 RATIOS FINANCIEROS — FERRETERIA</t>
        </is>
      </c>
    </row>
    <row r="2" ht="28" customHeight="1">
      <c r="A2" s="2" t="inlineStr">
        <is>
          <t>Plantilla profesional con graficos y calculos automaticos</t>
        </is>
      </c>
    </row>
    <row r="4">
      <c r="A4" s="3" t="inlineStr">
        <is>
          <t>TOTAL S/</t>
        </is>
      </c>
      <c r="C4" s="4" t="inlineStr">
        <is>
          <t>PROMEDIO S/</t>
        </is>
      </c>
      <c r="E4" s="5" t="inlineStr">
        <is>
          <t>MAXIMO S/</t>
        </is>
      </c>
      <c r="G4" s="6" t="inlineStr">
        <is>
          <t>MINIMO S/</t>
        </is>
      </c>
    </row>
    <row r="5" ht="32" customHeight="1">
      <c r="A5" s="7" t="n">
        <v>24000</v>
      </c>
      <c r="C5" s="8" t="n">
        <v>2000</v>
      </c>
      <c r="E5" s="9" t="n">
        <v>2600</v>
      </c>
      <c r="G5" s="10" t="n">
        <v>1400</v>
      </c>
    </row>
    <row r="8" ht="30" customHeight="1">
      <c r="A8" s="11" t="inlineStr">
        <is>
          <t xml:space="preserve">  DATOS MENSUALES</t>
        </is>
      </c>
    </row>
    <row r="9">
      <c r="A9" s="12" t="inlineStr">
        <is>
          <t>INDICADOR</t>
        </is>
      </c>
      <c r="B9" s="12" t="inlineStr">
        <is>
          <t>VALOR ACTUAL</t>
        </is>
      </c>
      <c r="C9" s="12" t="inlineStr">
        <is>
          <t>VALOR ANTERIOR</t>
        </is>
      </c>
      <c r="D9" s="12" t="inlineStr">
        <is>
          <t>VARIACION</t>
        </is>
      </c>
      <c r="E9" s="12" t="inlineStr">
        <is>
          <t>TENDENCIA</t>
        </is>
      </c>
    </row>
    <row r="10">
      <c r="A10" s="13" t="inlineStr">
        <is>
          <t>ROI</t>
        </is>
      </c>
      <c r="B10" s="14" t="n">
        <v>10.1</v>
      </c>
      <c r="C10" s="14" t="n">
        <v>10.3</v>
      </c>
      <c r="D10" s="14">
        <f>B10-C10</f>
        <v/>
      </c>
      <c r="E10" s="13">
        <f>IF(D10&gt;0,"SUBIO","BAJO")</f>
        <v/>
      </c>
    </row>
    <row r="11">
      <c r="A11" s="15" t="inlineStr">
        <is>
          <t>Rentabilidad</t>
        </is>
      </c>
      <c r="B11" s="16" t="n">
        <v>27.3</v>
      </c>
      <c r="C11" s="16" t="n">
        <v>25.6</v>
      </c>
      <c r="D11" s="16">
        <f>B11-C11</f>
        <v/>
      </c>
      <c r="E11" s="15">
        <f>IF(D11&gt;0,"SUBIO","BAJO")</f>
        <v/>
      </c>
    </row>
    <row r="12">
      <c r="A12" s="13" t="inlineStr">
        <is>
          <t>Liquidez</t>
        </is>
      </c>
      <c r="B12" s="14" t="n">
        <v>21.8</v>
      </c>
      <c r="C12" s="14" t="n">
        <v>23.5</v>
      </c>
      <c r="D12" s="14">
        <f>B12-C12</f>
        <v/>
      </c>
      <c r="E12" s="13">
        <f>IF(D12&gt;0,"SUBIO","BAJO")</f>
        <v/>
      </c>
    </row>
    <row r="13">
      <c r="A13" s="15" t="inlineStr">
        <is>
          <t>Endeudamiento</t>
        </is>
      </c>
      <c r="B13" s="16" t="n">
        <v>6.9</v>
      </c>
      <c r="C13" s="16" t="n">
        <v>6.2</v>
      </c>
      <c r="D13" s="16">
        <f>B13-C13</f>
        <v/>
      </c>
      <c r="E13" s="15">
        <f>IF(D13&gt;0,"SUBIO","BAJO")</f>
        <v/>
      </c>
    </row>
    <row r="14">
      <c r="A14" s="13" t="inlineStr">
        <is>
          <t>Rotacion</t>
        </is>
      </c>
      <c r="B14" s="14" t="n">
        <v>22.7</v>
      </c>
      <c r="C14" s="14" t="n">
        <v>18.2</v>
      </c>
      <c r="D14" s="14">
        <f>B14-C14</f>
        <v/>
      </c>
      <c r="E14" s="13">
        <f>IF(D14&gt;0,"SUBIO","BAJO")</f>
        <v/>
      </c>
    </row>
    <row r="15">
      <c r="A15" s="15" t="inlineStr">
        <is>
          <t>Margen</t>
        </is>
      </c>
      <c r="B15" s="16" t="n">
        <v>23.2</v>
      </c>
      <c r="C15" s="16" t="n">
        <v>21</v>
      </c>
      <c r="D15" s="16">
        <f>B15-C15</f>
        <v/>
      </c>
      <c r="E15" s="15">
        <f>IF(D15&gt;0,"SUBIO","BAJO")</f>
        <v/>
      </c>
    </row>
    <row r="16">
      <c r="A16" s="13" t="inlineStr">
        <is>
          <t>Crecimiento</t>
        </is>
      </c>
      <c r="B16" s="14" t="n">
        <v>11.5</v>
      </c>
      <c r="C16" s="14" t="n">
        <v>12.1</v>
      </c>
      <c r="D16" s="14">
        <f>B16-C16</f>
        <v/>
      </c>
      <c r="E16" s="13">
        <f>IF(D16&gt;0,"SUBIO","BAJO")</f>
        <v/>
      </c>
    </row>
    <row r="17">
      <c r="A17" s="15" t="inlineStr">
        <is>
          <t>Productividad</t>
        </is>
      </c>
      <c r="B17" s="16" t="n">
        <v>13.2</v>
      </c>
      <c r="C17" s="16" t="n">
        <v>13.6</v>
      </c>
      <c r="D17" s="16">
        <f>B17-C17</f>
        <v/>
      </c>
      <c r="E17" s="15">
        <f>IF(D17&gt;0,"SUBIO","BAJO")</f>
        <v/>
      </c>
    </row>
    <row r="24">
      <c r="A24" s="17" t="inlineStr">
        <is>
          <t>INDICADOR</t>
        </is>
      </c>
      <c r="B24" s="17" t="inlineStr">
        <is>
          <t>VALOR</t>
        </is>
      </c>
    </row>
    <row r="25">
      <c r="A25" t="inlineStr">
        <is>
          <t>ROI</t>
        </is>
      </c>
      <c r="B25" t="n">
        <v>21.6</v>
      </c>
    </row>
    <row r="26">
      <c r="A26" t="inlineStr">
        <is>
          <t>Rentabilidad</t>
        </is>
      </c>
      <c r="B26" t="n">
        <v>5.1</v>
      </c>
    </row>
    <row r="27">
      <c r="A27" t="inlineStr">
        <is>
          <t>Liquidez</t>
        </is>
      </c>
      <c r="B27" t="n">
        <v>10.4</v>
      </c>
    </row>
    <row r="28">
      <c r="A28" t="inlineStr">
        <is>
          <t>Endeudamiento</t>
        </is>
      </c>
      <c r="B28" t="n">
        <v>26.6</v>
      </c>
    </row>
    <row r="29">
      <c r="A29" t="inlineStr">
        <is>
          <t>Rotacion</t>
        </is>
      </c>
      <c r="B29" t="n">
        <v>6</v>
      </c>
    </row>
    <row r="30">
      <c r="A30" t="inlineStr">
        <is>
          <t>Margen</t>
        </is>
      </c>
      <c r="B30" t="n">
        <v>6</v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D10:D17">
    <cfRule type="cellIs" priority="1" operator="greaterThan" dxfId="0">
      <formula>0</formula>
    </cfRule>
    <cfRule type="cellIs" priority="2" operator="lessThan" dxfId="1">
      <formula>0</formula>
    </cfRule>
  </conditionalFormatting>
  <conditionalFormatting sqref="B10:B17">
    <cfRule type="dataBar" priority="3">
      <dataBar>
        <cfvo type="min"/>
        <cfvo type="max"/>
        <color rgb="0000CEC9"/>
      </dataBar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2026-09-01T00:20:48Z</dcterms:created>
  <dcterms:modified xsi:type="dcterms:W3CDTF">2026-09-01T00:20:48Z</dcterms:modified>
</cp:coreProperties>
</file>