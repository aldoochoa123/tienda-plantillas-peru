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drawings/drawing1.xml" ContentType="application/vnd.openxmlformats-officedocument.drawing+xml"/>
  <Override PartName="/xl/charts/chart1.xml" ContentType="application/vnd.openxmlformats-officedocument.drawingml.chart+xml"/>
  <Override PartName="/xl/charts/chart2.xml" ContentType="application/vnd.openxmlformats-officedocument.drawingml.chart+xml"/>
  <Override PartName="/xl/charts/chart3.xml" ContentType="application/vnd.openxmlformats-officedocument.drawingml.char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Estado de Resultados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0.0%"/>
  </numFmts>
  <fonts count="9">
    <font>
      <name val="Calibri"/>
      <family val="2"/>
      <color theme="1"/>
      <sz val="11"/>
      <scheme val="minor"/>
    </font>
    <font>
      <name val="Calibri"/>
      <b val="1"/>
      <color rgb="00FFFFFF"/>
      <sz val="18"/>
    </font>
    <font>
      <name val="Calibri"/>
      <i val="1"/>
      <color rgb="00FFFFFF"/>
      <sz val="11"/>
    </font>
    <font>
      <name val="Calibri"/>
      <b val="1"/>
      <color rgb="00FFFFFF"/>
      <sz val="9"/>
    </font>
    <font>
      <name val="Calibri"/>
      <b val="1"/>
      <color rgb="00FFFFFF"/>
      <sz val="16"/>
    </font>
    <font>
      <name val="Calibri"/>
      <b val="1"/>
      <color rgb="00FFFFFF"/>
      <sz val="13"/>
    </font>
    <font>
      <name val="Calibri"/>
      <b val="1"/>
      <color rgb="00FFFFFF"/>
      <sz val="10"/>
    </font>
    <font>
      <name val="Calibri"/>
      <color rgb="002D3436"/>
      <sz val="10"/>
    </font>
    <font>
      <name val="Calibri"/>
      <b val="1"/>
      <color rgb="001B1464"/>
      <sz val="11"/>
    </font>
  </fonts>
  <fills count="7">
    <fill>
      <patternFill/>
    </fill>
    <fill>
      <patternFill patternType="gray125"/>
    </fill>
    <fill>
      <patternFill patternType="solid">
        <fgColor rgb="001B1464"/>
        <bgColor rgb="001B1464"/>
      </patternFill>
    </fill>
    <fill>
      <patternFill patternType="solid">
        <fgColor rgb="0000B894"/>
        <bgColor rgb="0000B894"/>
      </patternFill>
    </fill>
    <fill>
      <patternFill patternType="solid">
        <fgColor rgb="000984E3"/>
        <bgColor rgb="000984E3"/>
      </patternFill>
    </fill>
    <fill>
      <patternFill patternType="solid">
        <fgColor rgb="00E17055"/>
        <bgColor rgb="00E17055"/>
      </patternFill>
    </fill>
    <fill>
      <patternFill patternType="solid">
        <fgColor rgb="00F0FFF0"/>
        <bgColor rgb="00F0FFF0"/>
      </patternFill>
    </fill>
  </fills>
  <borders count="2">
    <border>
      <left/>
      <right/>
      <top/>
      <bottom/>
      <diagonal/>
    </border>
    <border>
      <left style="thin">
        <color rgb="00DFE6E9"/>
      </left>
      <right style="thin">
        <color rgb="00DFE6E9"/>
      </right>
      <top style="thin">
        <color rgb="00DFE6E9"/>
      </top>
      <bottom style="thin">
        <color rgb="00DFE6E9"/>
      </bottom>
    </border>
  </borders>
  <cellStyleXfs count="1">
    <xf numFmtId="0" fontId="0" fillId="0" borderId="0"/>
  </cellStyleXfs>
  <cellXfs count="20">
    <xf numFmtId="0" fontId="0" fillId="0" borderId="0" pivotButton="0" quotePrefix="0" xfId="0"/>
    <xf numFmtId="0" fontId="1" fillId="2" borderId="0" applyAlignment="1" pivotButton="0" quotePrefix="0" xfId="0">
      <alignment horizontal="center" vertical="center"/>
    </xf>
    <xf numFmtId="0" fontId="2" fillId="3" borderId="0" applyAlignment="1" pivotButton="0" quotePrefix="0" xfId="0">
      <alignment horizontal="center" vertical="center"/>
    </xf>
    <xf numFmtId="0" fontId="3" fillId="3" borderId="0" applyAlignment="1" pivotButton="0" quotePrefix="0" xfId="0">
      <alignment horizontal="center" vertical="center" wrapText="1"/>
    </xf>
    <xf numFmtId="0" fontId="3" fillId="4" borderId="0" applyAlignment="1" pivotButton="0" quotePrefix="0" xfId="0">
      <alignment horizontal="center" vertical="center" wrapText="1"/>
    </xf>
    <xf numFmtId="0" fontId="3" fillId="5" borderId="0" applyAlignment="1" pivotButton="0" quotePrefix="0" xfId="0">
      <alignment horizontal="center" vertical="center" wrapText="1"/>
    </xf>
    <xf numFmtId="0" fontId="4" fillId="3" borderId="0" applyAlignment="1" pivotButton="0" quotePrefix="0" xfId="0">
      <alignment horizontal="center" vertical="center" wrapText="1"/>
    </xf>
    <xf numFmtId="0" fontId="4" fillId="4" borderId="0" applyAlignment="1" pivotButton="0" quotePrefix="0" xfId="0">
      <alignment horizontal="center" vertical="center" wrapText="1"/>
    </xf>
    <xf numFmtId="0" fontId="4" fillId="5" borderId="0" applyAlignment="1" pivotButton="0" quotePrefix="0" xfId="0">
      <alignment horizontal="center" vertical="center" wrapText="1"/>
    </xf>
    <xf numFmtId="0" fontId="5" fillId="3" borderId="0" applyAlignment="1" pivotButton="0" quotePrefix="0" xfId="0">
      <alignment horizontal="left" vertical="center"/>
    </xf>
    <xf numFmtId="0" fontId="6" fillId="2" borderId="1" applyAlignment="1" pivotButton="0" quotePrefix="0" xfId="0">
      <alignment horizontal="center" vertical="center" wrapText="1"/>
    </xf>
    <xf numFmtId="0" fontId="7" fillId="6" borderId="1" applyAlignment="1" pivotButton="0" quotePrefix="0" xfId="0">
      <alignment horizontal="center" vertical="center" wrapText="1"/>
    </xf>
    <xf numFmtId="3" fontId="7" fillId="6" borderId="1" applyAlignment="1" pivotButton="0" quotePrefix="0" xfId="0">
      <alignment horizontal="center" vertical="center" wrapText="1"/>
    </xf>
    <xf numFmtId="164" fontId="7" fillId="6" borderId="1" applyAlignment="1" pivotButton="0" quotePrefix="0" xfId="0">
      <alignment horizontal="center" vertical="center" wrapText="1"/>
    </xf>
    <xf numFmtId="0" fontId="7" fillId="0" borderId="1" applyAlignment="1" pivotButton="0" quotePrefix="0" xfId="0">
      <alignment horizontal="center" vertical="center" wrapText="1"/>
    </xf>
    <xf numFmtId="3" fontId="7" fillId="0" borderId="1" applyAlignment="1" pivotButton="0" quotePrefix="0" xfId="0">
      <alignment horizontal="center" vertical="center" wrapText="1"/>
    </xf>
    <xf numFmtId="164" fontId="7" fillId="0" borderId="1" applyAlignment="1" pivotButton="0" quotePrefix="0" xfId="0">
      <alignment horizontal="center" vertical="center" wrapText="1"/>
    </xf>
    <xf numFmtId="0" fontId="8" fillId="0" borderId="0" pivotButton="0" quotePrefix="0" xfId="0"/>
    <xf numFmtId="3" fontId="8" fillId="0" borderId="0" pivotButton="0" quotePrefix="0" xfId="0"/>
    <xf numFmtId="0" fontId="6" fillId="2" borderId="0" pivotButton="0" quotePrefix="0" xfId="0"/>
  </cellXfs>
  <cellStyles count="1">
    <cellStyle name="Normal" xfId="0" builtinId="0" hidden="0"/>
  </cellStyles>
  <dxfs count="2">
    <dxf>
      <fill>
        <patternFill patternType="solid">
          <fgColor rgb="00C8E6C9"/>
          <bgColor rgb="00C8E6C9"/>
        </patternFill>
      </fill>
    </dxf>
    <dxf>
      <fill>
        <patternFill patternType="solid">
          <fgColor rgb="00FFCDD2"/>
          <bgColor rgb="00FFCDD2"/>
        </patternFill>
      </fill>
    </dxf>
  </dxf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harts/chart1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Barras</a:t>
            </a:r>
          </a:p>
        </rich>
      </tx>
    </title>
    <plotArea>
      <barChart>
        <barDir val="col"/>
        <grouping val="clustered"/>
        <ser>
          <idx val="0"/>
          <order val="0"/>
          <tx>
            <strRef>
              <f>'Estado de Resultados'!B9</f>
            </strRef>
          </tx>
          <spPr>
            <a:solidFill>
              <a:srgbClr val="00B894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Resultados'!$B$10:$B$21</f>
            </numRef>
          </val>
        </ser>
        <ser>
          <idx val="1"/>
          <order val="1"/>
          <tx>
            <strRef>
              <f>'Estado de Resultados'!C9</f>
            </strRef>
          </tx>
          <spPr>
            <a:solidFill>
              <a:srgbClr val="0984E3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Resultados'!$C$10:$C$21</f>
            </numRef>
          </val>
        </ser>
        <ser>
          <idx val="2"/>
          <order val="2"/>
          <tx>
            <strRef>
              <f>'Estado de Resultados'!D9</f>
            </strRef>
          </tx>
          <spPr>
            <a:solidFill>
              <a:srgbClr val="E17055"/>
            </a:solidFill>
            <a:ln>
              <a:prstDash val="solid"/>
            </a:ln>
          </spPr>
          <cat>
            <numRef>
              <f>'Estado de Resultados'!$A$10:$A$21</f>
            </numRef>
          </cat>
          <val>
            <numRef>
              <f>'Estado de Resultados'!$D$10:$D$21</f>
            </numRef>
          </val>
        </ser>
        <gapWidth val="150"/>
        <axId val="10"/>
        <axId val="100"/>
      </bar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2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Tendencia</a:t>
            </a:r>
          </a:p>
        </rich>
      </tx>
    </title>
    <plotArea>
      <lineChart>
        <grouping val="standard"/>
        <ser>
          <idx val="0"/>
          <order val="0"/>
          <tx>
            <strRef>
              <f>'Estado de Resultados'!E9</f>
            </strRef>
          </tx>
          <spPr>
            <a:ln w="25000">
              <a:solidFill>
                <a:srgbClr val="00B894"/>
              </a:solidFill>
              <a:prstDash val="solid"/>
            </a:ln>
          </spPr>
          <marker>
            <symbol val="none"/>
            <spPr>
              <a:ln>
                <a:prstDash val="solid"/>
              </a:ln>
            </spPr>
          </marker>
          <cat>
            <numRef>
              <f>'Estado de Resultados'!$A$10:$A$21</f>
            </numRef>
          </cat>
          <val>
            <numRef>
              <f>'Estado de Resultados'!$E$10:$E$21</f>
            </numRef>
          </val>
        </ser>
        <axId val="10"/>
        <axId val="100"/>
      </lineChart>
      <catAx>
        <axId val="10"/>
        <scaling>
          <orientation val="minMax"/>
        </scaling>
        <axPos val="l"/>
        <majorTickMark val="none"/>
        <minorTickMark val="none"/>
        <crossAx val="100"/>
        <lblOffset val="100"/>
      </catAx>
      <valAx>
        <axId val="100"/>
        <scaling>
          <orientation val="minMax"/>
        </scaling>
        <axPos val="l"/>
        <majorGridlines/>
        <majorTickMark val="none"/>
        <minorTickMark val="none"/>
        <crossAx val="10"/>
      </valAx>
    </plotArea>
    <legend>
      <legendPos val="r"/>
    </legend>
    <plotVisOnly val="1"/>
    <dispBlanksAs val="gap"/>
  </chart>
</chartSpace>
</file>

<file path=xl/charts/chart3.xml><?xml version="1.0" encoding="utf-8"?>
<chartSpace xmlns:a="http://schemas.openxmlformats.org/drawingml/2006/main" xmlns="http://schemas.openxmlformats.org/drawingml/2006/chart">
  <style val="10"/>
  <chart>
    <title>
      <tx>
        <rich>
          <a:bodyPr/>
          <a:p>
            <a:pPr>
              <a:defRPr/>
            </a:pPr>
            <a:r>
              <a:t>Estado de Resultados — Distribucion</a:t>
            </a:r>
          </a:p>
        </rich>
      </tx>
    </title>
    <plotArea>
      <pieChart>
        <varyColors val="1"/>
        <ser>
          <idx val="0"/>
          <order val="0"/>
          <tx>
            <strRef>
              <f>'Estado de Resultados'!B38</f>
            </strRef>
          </tx>
          <spPr>
            <a:ln>
              <a:prstDash val="solid"/>
            </a:ln>
          </spPr>
          <dPt>
            <idx val="0"/>
            <spPr>
              <a:solidFill>
                <a:srgbClr val="00B894"/>
              </a:solidFill>
              <a:ln>
                <a:prstDash val="solid"/>
              </a:ln>
            </spPr>
          </dPt>
          <dPt>
            <idx val="1"/>
            <spPr>
              <a:solidFill>
                <a:srgbClr val="0984E3"/>
              </a:solidFill>
              <a:ln>
                <a:prstDash val="solid"/>
              </a:ln>
            </spPr>
          </dPt>
          <dPt>
            <idx val="2"/>
            <spPr>
              <a:solidFill>
                <a:srgbClr val="E17055"/>
              </a:solidFill>
              <a:ln>
                <a:prstDash val="solid"/>
              </a:ln>
            </spPr>
          </dPt>
          <dPt>
            <idx val="3"/>
            <spPr>
              <a:solidFill>
                <a:srgbClr val="6C5CE7"/>
              </a:solidFill>
              <a:ln>
                <a:prstDash val="solid"/>
              </a:ln>
            </spPr>
          </dPt>
          <dPt>
            <idx val="4"/>
            <spPr>
              <a:solidFill>
                <a:srgbClr val="00CEC9"/>
              </a:solidFill>
              <a:ln>
                <a:prstDash val="solid"/>
              </a:ln>
            </spPr>
          </dPt>
          <dPt>
            <idx val="5"/>
            <spPr>
              <a:solidFill>
                <a:srgbClr val="FD79A8"/>
              </a:solidFill>
              <a:ln>
                <a:prstDash val="solid"/>
              </a:ln>
            </spPr>
          </dPt>
          <dPt>
            <idx val="6"/>
            <spPr>
              <a:solidFill>
                <a:srgbClr val="FDCB6E"/>
              </a:solidFill>
              <a:ln>
                <a:prstDash val="solid"/>
              </a:ln>
            </spPr>
          </dPt>
          <dPt>
            <idx val="7"/>
            <spPr>
              <a:solidFill>
                <a:srgbClr val="D63031"/>
              </a:solidFill>
              <a:ln>
                <a:prstDash val="solid"/>
              </a:ln>
            </spPr>
          </dPt>
          <dPt>
            <idx val="8"/>
            <spPr>
              <a:solidFill>
                <a:srgbClr val="5352ED"/>
              </a:solidFill>
              <a:ln>
                <a:prstDash val="solid"/>
              </a:ln>
            </spPr>
          </dPt>
          <dPt>
            <idx val="9"/>
            <spPr>
              <a:solidFill>
                <a:srgbClr val="00897B"/>
              </a:solidFill>
              <a:ln>
                <a:prstDash val="solid"/>
              </a:ln>
            </spPr>
          </dPt>
          <dPt>
            <idx val="10"/>
            <spPr>
              <a:solidFill>
                <a:srgbClr val="E84393"/>
              </a:solidFill>
              <a:ln>
                <a:prstDash val="solid"/>
              </a:ln>
            </spPr>
          </dPt>
          <dPt>
            <idx val="11"/>
            <spPr>
              <a:solidFill>
                <a:srgbClr val="00B4D8"/>
              </a:solidFill>
              <a:ln>
                <a:prstDash val="solid"/>
              </a:ln>
            </spPr>
          </dPt>
          <cat>
            <numRef>
              <f>'Estado de Resultados'!$A$39:$A$41</f>
            </numRef>
          </cat>
          <val>
            <numRef>
              <f>'Estado de Resultados'!$B$39:$B$41</f>
            </numRef>
          </val>
        </ser>
        <dLbls>
          <showVal val="0"/>
          <showCatName val="1"/>
          <showPercent val="1"/>
        </dLbls>
        <firstSliceAng val="0"/>
      </pieChart>
    </plotArea>
    <legend>
      <legendPos val="r"/>
    </legend>
    <plotVisOnly val="1"/>
    <dispBlanksAs val="gap"/>
  </chart>
</chartSpace>
</file>

<file path=xl/drawings/_rels/drawing1.xml.rels><Relationships xmlns="http://schemas.openxmlformats.org/package/2006/relationships"><Relationship Type="http://schemas.openxmlformats.org/officeDocument/2006/relationships/chart" Target="/xl/charts/chart1.xml" Id="rId1" /><Relationship Type="http://schemas.openxmlformats.org/officeDocument/2006/relationships/chart" Target="/xl/charts/chart2.xml" Id="rId2" /><Relationship Type="http://schemas.openxmlformats.org/officeDocument/2006/relationships/chart" Target="/xl/charts/chart3.xml" Id="rId3" /></Relationships>
</file>

<file path=xl/drawings/drawing1.xml><?xml version="1.0" encoding="utf-8"?>
<wsDr xmlns:a="http://schemas.openxmlformats.org/drawingml/2006/main" xmlns:c="http://schemas.openxmlformats.org/drawingml/2006/chart" xmlns:r="http://schemas.openxmlformats.org/officeDocument/2006/relationships" xmlns="http://schemas.openxmlformats.org/drawingml/2006/spreadsheetDrawing">
  <oneCellAnchor>
    <from>
      <col>0</col>
      <colOff>0</colOff>
      <row>23</row>
      <rowOff>0</rowOff>
    </from>
    <ext cx="6480000" cy="3600000"/>
    <graphicFrame>
      <nvGraphicFramePr>
        <cNvPr id="1" name="Chart 1"/>
        <cNvGraphicFramePr/>
      </nvGraphicFramePr>
      <xfrm/>
      <a:graphic>
        <a:graphicData uri="http://schemas.openxmlformats.org/drawingml/2006/chart">
          <c:chart r:id="rId1"/>
        </a:graphicData>
      </a:graphic>
    </graphicFrame>
    <clientData/>
  </oneCellAnchor>
  <oneCellAnchor>
    <from>
      <col>9</col>
      <colOff>0</colOff>
      <row>23</row>
      <rowOff>0</rowOff>
    </from>
    <ext cx="5760000" cy="3600000"/>
    <graphicFrame>
      <nvGraphicFramePr>
        <cNvPr id="2" name="Chart 2"/>
        <cNvGraphicFramePr/>
      </nvGraphicFramePr>
      <xfrm/>
      <a:graphic>
        <a:graphicData uri="http://schemas.openxmlformats.org/drawingml/2006/chart">
          <c:chart r:id="rId2"/>
        </a:graphicData>
      </a:graphic>
    </graphicFrame>
    <clientData/>
  </oneCellAnchor>
  <oneCellAnchor>
    <from>
      <col>3</col>
      <colOff>0</colOff>
      <row>37</row>
      <rowOff>0</rowOff>
    </from>
    <ext cx="5040000" cy="3600000"/>
    <graphicFrame>
      <nvGraphicFramePr>
        <cNvPr id="3" name="Chart 3"/>
        <cNvGraphicFramePr/>
      </nvGraphicFramePr>
      <xfrm/>
      <a:graphic>
        <a:graphicData uri="http://schemas.openxmlformats.org/drawingml/2006/chart">
          <c:chart r:id="rId3"/>
        </a:graphicData>
      </a:graphic>
    </graphicFrame>
    <clientData/>
  </oneCellAnchor>
</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drawing" Target="/xl/drawings/drawing1.xml" Id="rId1" /></Relationships>
</file>

<file path=xl/worksheets/sheet1.xml><?xml version="1.0" encoding="utf-8"?>
<worksheet xmlns="http://schemas.openxmlformats.org/spreadsheetml/2006/main">
  <sheetPr>
    <tabColor rgb="0000B894"/>
    <outlinePr summaryBelow="1" summaryRight="1"/>
    <pageSetUpPr/>
  </sheetPr>
  <dimension ref="A1:H41"/>
  <sheetViews>
    <sheetView workbookViewId="0">
      <selection activeCell="A1" sqref="A1"/>
    </sheetView>
  </sheetViews>
  <sheetFormatPr baseColWidth="8" defaultRowHeight="15"/>
  <cols>
    <col width="14" customWidth="1" min="1" max="1"/>
    <col width="14" customWidth="1" min="2" max="2"/>
    <col width="14" customWidth="1" min="3" max="3"/>
    <col width="14" customWidth="1" min="4" max="4"/>
    <col width="14" customWidth="1" min="5" max="5"/>
    <col width="14" customWidth="1" min="6" max="6"/>
    <col width="14" customWidth="1" min="7" max="7"/>
    <col width="14" customWidth="1" min="8" max="8"/>
  </cols>
  <sheetData>
    <row r="1" ht="45" customHeight="1">
      <c r="A1" s="1" t="inlineStr">
        <is>
          <t>📊 ESTADO DE RESULTADOS — PAPELERIA</t>
        </is>
      </c>
    </row>
    <row r="2" ht="28" customHeight="1">
      <c r="A2" s="2" t="inlineStr">
        <is>
          <t>Plantilla profesional con graficos y calculos automaticos</t>
        </is>
      </c>
    </row>
    <row r="4">
      <c r="A4" s="3" t="inlineStr">
        <is>
          <t>TOTAL S/</t>
        </is>
      </c>
      <c r="C4" s="3" t="inlineStr">
        <is>
          <t>PROMEDIO S/</t>
        </is>
      </c>
      <c r="E4" s="4" t="inlineStr">
        <is>
          <t>MAXIMO S/</t>
        </is>
      </c>
      <c r="G4" s="5" t="inlineStr">
        <is>
          <t>MINIMO S/</t>
        </is>
      </c>
    </row>
    <row r="5" ht="32" customHeight="1">
      <c r="A5" s="6" t="n">
        <v>7200</v>
      </c>
      <c r="C5" s="6" t="n">
        <v>600</v>
      </c>
      <c r="E5" s="7" t="n">
        <v>780</v>
      </c>
      <c r="G5" s="8" t="n">
        <v>420</v>
      </c>
    </row>
    <row r="8" ht="30" customHeight="1">
      <c r="A8" s="9" t="inlineStr">
        <is>
          <t xml:space="preserve">  DATOS MENSUALES</t>
        </is>
      </c>
    </row>
    <row r="9">
      <c r="A9" s="10" t="inlineStr">
        <is>
          <t>MES</t>
        </is>
      </c>
      <c r="B9" s="10" t="inlineStr">
        <is>
          <t>CONCEPTO A</t>
        </is>
      </c>
      <c r="C9" s="10" t="inlineStr">
        <is>
          <t>CONCEPTO B</t>
        </is>
      </c>
      <c r="D9" s="10" t="inlineStr">
        <is>
          <t>CONCEPTO C</t>
        </is>
      </c>
      <c r="E9" s="10" t="inlineStr">
        <is>
          <t>TOTAL</t>
        </is>
      </c>
      <c r="F9" s="10" t="inlineStr">
        <is>
          <t>PROMEDIO</t>
        </is>
      </c>
      <c r="G9" s="10" t="inlineStr">
        <is>
          <t>% DEL TOTAL</t>
        </is>
      </c>
      <c r="H9" s="10" t="inlineStr">
        <is>
          <t>TENDENCIA</t>
        </is>
      </c>
    </row>
    <row r="10">
      <c r="A10" s="11" t="inlineStr">
        <is>
          <t>Enero</t>
        </is>
      </c>
      <c r="B10" s="12" t="n">
        <v>540</v>
      </c>
      <c r="C10" s="12" t="n">
        <v>426</v>
      </c>
      <c r="D10" s="12" t="n">
        <v>166</v>
      </c>
      <c r="E10" s="12">
        <f>B10+C10+D10</f>
        <v/>
      </c>
      <c r="F10" s="12">
        <f>E10/3</f>
        <v/>
      </c>
      <c r="G10" s="13">
        <f>IF(E10&gt;0,B10/E10,0)</f>
        <v/>
      </c>
      <c r="H10" s="11" t="inlineStr">
        <is>
          <t>—</t>
        </is>
      </c>
    </row>
    <row r="11">
      <c r="A11" s="14" t="inlineStr">
        <is>
          <t>Febrero</t>
        </is>
      </c>
      <c r="B11" s="15" t="n">
        <v>639</v>
      </c>
      <c r="C11" s="15" t="n">
        <v>404</v>
      </c>
      <c r="D11" s="15" t="n">
        <v>145</v>
      </c>
      <c r="E11" s="15">
        <f>B11+C11+D11</f>
        <v/>
      </c>
      <c r="F11" s="15">
        <f>E11/3</f>
        <v/>
      </c>
      <c r="G11" s="16">
        <f>IF(E11&gt;0,B11/E11,0)</f>
        <v/>
      </c>
      <c r="H11" s="14">
        <f>IF(B11&gt;B10,"SUBIO","BAJO")</f>
        <v/>
      </c>
    </row>
    <row r="12">
      <c r="A12" s="11" t="inlineStr">
        <is>
          <t>Marzo</t>
        </is>
      </c>
      <c r="B12" s="12" t="n">
        <v>718</v>
      </c>
      <c r="C12" s="12" t="n">
        <v>316</v>
      </c>
      <c r="D12" s="12" t="n">
        <v>191</v>
      </c>
      <c r="E12" s="12">
        <f>B12+C12+D12</f>
        <v/>
      </c>
      <c r="F12" s="12">
        <f>E12/3</f>
        <v/>
      </c>
      <c r="G12" s="13">
        <f>IF(E12&gt;0,B12/E12,0)</f>
        <v/>
      </c>
      <c r="H12" s="11">
        <f>IF(B12&gt;B11,"SUBIO","BAJO")</f>
        <v/>
      </c>
    </row>
    <row r="13">
      <c r="A13" s="14" t="inlineStr">
        <is>
          <t>Abril</t>
        </is>
      </c>
      <c r="B13" s="15" t="n">
        <v>528</v>
      </c>
      <c r="C13" s="15" t="n">
        <v>402</v>
      </c>
      <c r="D13" s="15" t="n">
        <v>172</v>
      </c>
      <c r="E13" s="15">
        <f>B13+C13+D13</f>
        <v/>
      </c>
      <c r="F13" s="15">
        <f>E13/3</f>
        <v/>
      </c>
      <c r="G13" s="16">
        <f>IF(E13&gt;0,B13/E13,0)</f>
        <v/>
      </c>
      <c r="H13" s="14">
        <f>IF(B13&gt;B12,"SUBIO","BAJO")</f>
        <v/>
      </c>
    </row>
    <row r="14">
      <c r="A14" s="11" t="inlineStr">
        <is>
          <t>Mayo</t>
        </is>
      </c>
      <c r="B14" s="12" t="n">
        <v>616</v>
      </c>
      <c r="C14" s="12" t="n">
        <v>293</v>
      </c>
      <c r="D14" s="12" t="n">
        <v>190</v>
      </c>
      <c r="E14" s="12">
        <f>B14+C14+D14</f>
        <v/>
      </c>
      <c r="F14" s="12">
        <f>E14/3</f>
        <v/>
      </c>
      <c r="G14" s="13">
        <f>IF(E14&gt;0,B14/E14,0)</f>
        <v/>
      </c>
      <c r="H14" s="11">
        <f>IF(B14&gt;B13,"SUBIO","BAJO")</f>
        <v/>
      </c>
    </row>
    <row r="15">
      <c r="A15" s="14" t="inlineStr">
        <is>
          <t>Junio</t>
        </is>
      </c>
      <c r="B15" s="15" t="n">
        <v>681</v>
      </c>
      <c r="C15" s="15" t="n">
        <v>352</v>
      </c>
      <c r="D15" s="15" t="n">
        <v>209</v>
      </c>
      <c r="E15" s="15">
        <f>B15+C15+D15</f>
        <v/>
      </c>
      <c r="F15" s="15">
        <f>E15/3</f>
        <v/>
      </c>
      <c r="G15" s="16">
        <f>IF(E15&gt;0,B15/E15,0)</f>
        <v/>
      </c>
      <c r="H15" s="14">
        <f>IF(B15&gt;B14,"SUBIO","BAJO")</f>
        <v/>
      </c>
    </row>
    <row r="16">
      <c r="A16" s="11" t="inlineStr">
        <is>
          <t>Julio</t>
        </is>
      </c>
      <c r="B16" s="12" t="n">
        <v>704</v>
      </c>
      <c r="C16" s="12" t="n">
        <v>420</v>
      </c>
      <c r="D16" s="12" t="n">
        <v>179</v>
      </c>
      <c r="E16" s="12">
        <f>B16+C16+D16</f>
        <v/>
      </c>
      <c r="F16" s="12">
        <f>E16/3</f>
        <v/>
      </c>
      <c r="G16" s="13">
        <f>IF(E16&gt;0,B16/E16,0)</f>
        <v/>
      </c>
      <c r="H16" s="11">
        <f>IF(B16&gt;B15,"SUBIO","BAJO")</f>
        <v/>
      </c>
    </row>
    <row r="17">
      <c r="A17" s="14" t="inlineStr">
        <is>
          <t>Agosto</t>
        </is>
      </c>
      <c r="B17" s="15" t="n">
        <v>540</v>
      </c>
      <c r="C17" s="15" t="n">
        <v>340</v>
      </c>
      <c r="D17" s="15" t="n">
        <v>192</v>
      </c>
      <c r="E17" s="15">
        <f>B17+C17+D17</f>
        <v/>
      </c>
      <c r="F17" s="15">
        <f>E17/3</f>
        <v/>
      </c>
      <c r="G17" s="16">
        <f>IF(E17&gt;0,B17/E17,0)</f>
        <v/>
      </c>
      <c r="H17" s="14">
        <f>IF(B17&gt;B16,"SUBIO","BAJO")</f>
        <v/>
      </c>
    </row>
    <row r="18">
      <c r="A18" s="11" t="inlineStr">
        <is>
          <t>Septiembre</t>
        </is>
      </c>
      <c r="B18" s="12" t="n">
        <v>566</v>
      </c>
      <c r="C18" s="12" t="n">
        <v>398</v>
      </c>
      <c r="D18" s="12" t="n">
        <v>144</v>
      </c>
      <c r="E18" s="12">
        <f>B18+C18+D18</f>
        <v/>
      </c>
      <c r="F18" s="12">
        <f>E18/3</f>
        <v/>
      </c>
      <c r="G18" s="13">
        <f>IF(E18&gt;0,B18/E18,0)</f>
        <v/>
      </c>
      <c r="H18" s="11">
        <f>IF(B18&gt;B17,"SUBIO","BAJO")</f>
        <v/>
      </c>
    </row>
    <row r="19">
      <c r="A19" s="14" t="inlineStr">
        <is>
          <t>Octubre</t>
        </is>
      </c>
      <c r="B19" s="15" t="n">
        <v>649</v>
      </c>
      <c r="C19" s="15" t="n">
        <v>390</v>
      </c>
      <c r="D19" s="15" t="n">
        <v>154</v>
      </c>
      <c r="E19" s="15">
        <f>B19+C19+D19</f>
        <v/>
      </c>
      <c r="F19" s="15">
        <f>E19/3</f>
        <v/>
      </c>
      <c r="G19" s="16">
        <f>IF(E19&gt;0,B19/E19,0)</f>
        <v/>
      </c>
      <c r="H19" s="14">
        <f>IF(B19&gt;B18,"SUBIO","BAJO")</f>
        <v/>
      </c>
    </row>
    <row r="20">
      <c r="A20" s="11" t="inlineStr">
        <is>
          <t>Noviembre</t>
        </is>
      </c>
      <c r="B20" s="12" t="n">
        <v>691</v>
      </c>
      <c r="C20" s="12" t="n">
        <v>395</v>
      </c>
      <c r="D20" s="12" t="n">
        <v>177</v>
      </c>
      <c r="E20" s="12">
        <f>B20+C20+D20</f>
        <v/>
      </c>
      <c r="F20" s="12">
        <f>E20/3</f>
        <v/>
      </c>
      <c r="G20" s="13">
        <f>IF(E20&gt;0,B20/E20,0)</f>
        <v/>
      </c>
      <c r="H20" s="11">
        <f>IF(B20&gt;B19,"SUBIO","BAJO")</f>
        <v/>
      </c>
    </row>
    <row r="21">
      <c r="A21" s="14" t="inlineStr">
        <is>
          <t>Diciembre</t>
        </is>
      </c>
      <c r="B21" s="15" t="n">
        <v>717</v>
      </c>
      <c r="C21" s="15" t="n">
        <v>362</v>
      </c>
      <c r="D21" s="15" t="n">
        <v>164</v>
      </c>
      <c r="E21" s="15">
        <f>B21+C21+D21</f>
        <v/>
      </c>
      <c r="F21" s="15">
        <f>E21/3</f>
        <v/>
      </c>
      <c r="G21" s="16">
        <f>IF(E21&gt;0,B21/E21,0)</f>
        <v/>
      </c>
      <c r="H21" s="14">
        <f>IF(B21&gt;B20,"SUBIO","BAJO")</f>
        <v/>
      </c>
    </row>
    <row r="22">
      <c r="A22" s="17" t="inlineStr">
        <is>
          <t>TOTAL</t>
        </is>
      </c>
      <c r="B22" s="18">
        <f>SUM(B10:B21)</f>
        <v/>
      </c>
      <c r="C22" s="18">
        <f>SUM(C10:C21)</f>
        <v/>
      </c>
      <c r="D22" s="18">
        <f>SUM(D10:D21)</f>
        <v/>
      </c>
      <c r="E22" s="18">
        <f>SUM(E10:E21)</f>
        <v/>
      </c>
    </row>
    <row r="38">
      <c r="A38" s="19" t="inlineStr">
        <is>
          <t>CONCEPTO</t>
        </is>
      </c>
      <c r="B38" s="19" t="inlineStr">
        <is>
          <t>TOTAL ANUAL</t>
        </is>
      </c>
    </row>
    <row r="39">
      <c r="A39" t="inlineStr">
        <is>
          <t>Concepto A</t>
        </is>
      </c>
      <c r="B39" t="n">
        <v>3276</v>
      </c>
    </row>
    <row r="40">
      <c r="A40" t="inlineStr">
        <is>
          <t>Concepto B</t>
        </is>
      </c>
      <c r="B40" t="n">
        <v>2616</v>
      </c>
    </row>
    <row r="41">
      <c r="A41" t="inlineStr">
        <is>
          <t>Concepto C</t>
        </is>
      </c>
      <c r="B41" t="n">
        <v>1895</v>
      </c>
    </row>
  </sheetData>
  <mergeCells count="11">
    <mergeCell ref="A4:B4"/>
    <mergeCell ref="G4:H4"/>
    <mergeCell ref="E4:F4"/>
    <mergeCell ref="A2:H2"/>
    <mergeCell ref="C5:D5"/>
    <mergeCell ref="A5:B5"/>
    <mergeCell ref="G5:H5"/>
    <mergeCell ref="E5:F5"/>
    <mergeCell ref="A1:H1"/>
    <mergeCell ref="A8:H8"/>
    <mergeCell ref="C4:D4"/>
  </mergeCells>
  <conditionalFormatting sqref="H10:H21">
    <cfRule type="cellIs" priority="1" operator="equal" dxfId="0">
      <formula>"SUBIO"</formula>
    </cfRule>
    <cfRule type="cellIs" priority="2" operator="equal" dxfId="1">
      <formula>"BAJO"</formula>
    </cfRule>
  </conditionalFormatting>
  <conditionalFormatting sqref="E10:E21">
    <cfRule type="colorScale" priority="3">
      <colorScale>
        <cfvo type="min"/>
        <cfvo type="percentile" val="50"/>
        <cfvo type="max"/>
        <color rgb="00FF7675"/>
        <color rgb="00FFEAA7"/>
        <color rgb="0055EFC4"/>
      </colorScale>
    </cfRule>
  </conditionalFormatting>
  <pageMargins left="0.75" right="0.75" top="1" bottom="1" header="0.5" footer="0.5"/>
  <drawing xmlns:r="http://schemas.openxmlformats.org/officeDocument/2006/relationships" r:id="rId1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2026-09-01T00:20:50Z</dcterms:created>
  <dcterms:modified xsi:type="dcterms:W3CDTF">2026-09-01T00:20:50Z</dcterms:modified>
</cp:coreProperties>
</file>