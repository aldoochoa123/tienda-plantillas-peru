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la" sheetId="1" state="visible" r:id="rId1"/>
    <sheet name="Boleta de Pa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  <xf numFmtId="0" fontId="2" fillId="4" borderId="0" applyAlignment="1" pivotButton="0" quotePrefix="0" xfId="0">
      <alignment horizontal="center" vertical="center"/>
    </xf>
    <xf numFmtId="0" fontId="5" fillId="3" borderId="0" pivotButton="0" quotePrefix="0" xfId="0"/>
    <xf numFmtId="0" fontId="0" fillId="3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Sueldos por Empleado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'Planilla'!D9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'Planilla'!$A$10:$A$22</f>
            </numRef>
          </cat>
          <val>
            <numRef>
              <f>'Planilla'!$D$10:$D$22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AFP vs ONP</a:t>
            </a:r>
          </a:p>
        </rich>
      </tx>
    </title>
    <plotArea>
      <pieChart>
        <varyColors val="1"/>
        <ser>
          <idx val="0"/>
          <order val="0"/>
          <tx>
            <strRef>
              <f>'Planilla'!B39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'Planilla'!$A$40:$A$41</f>
            </numRef>
          </cat>
          <val>
            <numRef>
              <f>'Planilla'!$B$40:$B$41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 + Beneficios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'Planilla'!D9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'Planilla'!$A$10:$A$22</f>
            </numRef>
          </cat>
          <val>
            <numRef>
              <f>'Planilla'!$D$10:$D$22</f>
            </numRef>
          </val>
        </ser>
        <ser>
          <idx val="1"/>
          <order val="1"/>
          <tx>
            <strRef>
              <f>'Planilla'!E9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'Planilla'!$A$10:$A$22</f>
            </numRef>
          </cat>
          <val>
            <numRef>
              <f>'Planilla'!$E$10:$E$22</f>
            </numRef>
          </val>
        </ser>
        <ser>
          <idx val="2"/>
          <order val="2"/>
          <tx>
            <strRef>
              <f>'Planilla'!F9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'Planilla'!$A$10:$A$22</f>
            </numRef>
          </cat>
          <val>
            <numRef>
              <f>'Planilla'!$F$10:$F$22</f>
            </numRef>
          </val>
        </ser>
        <ser>
          <idx val="3"/>
          <order val="3"/>
          <tx>
            <strRef>
              <f>'Planilla'!G9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'Planilla'!$A$10:$A$22</f>
            </numRef>
          </cat>
          <val>
            <numRef>
              <f>'Planilla'!$G$10:$G$22</f>
            </numRef>
          </val>
        </ser>
        <ser>
          <idx val="4"/>
          <order val="4"/>
          <tx>
            <strRef>
              <f>'Planilla'!H9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'Planilla'!$A$10:$A$22</f>
            </numRef>
          </cat>
          <val>
            <numRef>
              <f>'Planilla'!$H$10:$H$22</f>
            </numRef>
          </val>
        </ser>
        <ser>
          <idx val="5"/>
          <order val="5"/>
          <tx>
            <strRef>
              <f>'Planilla'!I9</f>
            </strRef>
          </tx>
          <spPr>
            <a:solidFill>
              <a:srgbClr val="FD79A8"/>
            </a:solidFill>
            <a:ln>
              <a:prstDash val="solid"/>
            </a:ln>
          </spPr>
          <cat>
            <numRef>
              <f>'Planilla'!$A$10:$A$22</f>
            </numRef>
          </cat>
          <val>
            <numRef>
              <f>'Planilla'!$I$10:$I$22</f>
            </numRef>
          </val>
        </ser>
        <ser>
          <idx val="6"/>
          <order val="6"/>
          <tx>
            <strRef>
              <f>'Planilla'!J9</f>
            </strRef>
          </tx>
          <spPr>
            <a:solidFill>
              <a:srgbClr val="FDCB6E"/>
            </a:solidFill>
            <a:ln>
              <a:prstDash val="solid"/>
            </a:ln>
          </spPr>
          <cat>
            <numRef>
              <f>'Planilla'!$A$10:$A$22</f>
            </numRef>
          </cat>
          <val>
            <numRef>
              <f>'Planilla'!$J$10:$J$22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24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38</row>
      <rowOff>0</rowOff>
    </from>
    <ext cx="43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42</row>
      <rowOff>0</rowOff>
    </from>
    <ext cx="648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45" customHeight="1">
      <c r="A1" s="1" t="inlineStr">
        <is>
          <t>PLANILLA DE PERSONAL — MERCERIA</t>
        </is>
      </c>
    </row>
    <row r="2" ht="28" customHeight="1">
      <c r="A2" s="2" t="inlineStr">
        <is>
          <t>AFP, ONP, EsSalud, CTS, Gratificacion — Todo calculado</t>
        </is>
      </c>
    </row>
    <row r="4">
      <c r="A4" s="3" t="inlineStr">
        <is>
          <t>TRABAJADORES</t>
        </is>
      </c>
      <c r="C4" s="4" t="inlineStr">
        <is>
          <t>PLANILLA S/</t>
        </is>
      </c>
      <c r="E4" s="5" t="inlineStr">
        <is>
          <t>ESSALUD 9% S/</t>
        </is>
      </c>
      <c r="G4" s="6" t="inlineStr">
        <is>
          <t>TOTAL EMPRESA S/</t>
        </is>
      </c>
    </row>
    <row r="5" ht="32" customHeight="1">
      <c r="A5" s="7" t="n">
        <v>13</v>
      </c>
      <c r="C5" s="8" t="n">
        <v>169</v>
      </c>
      <c r="E5" s="9" t="n">
        <v>15</v>
      </c>
      <c r="G5" s="10" t="n">
        <v>184</v>
      </c>
    </row>
    <row r="8" ht="30" customHeight="1">
      <c r="A8" s="11" t="inlineStr">
        <is>
          <t xml:space="preserve">  DETALLE DE PLANILLA MENSUAL</t>
        </is>
      </c>
    </row>
    <row r="9">
      <c r="A9" s="12" t="inlineStr">
        <is>
          <t>NOMBRE</t>
        </is>
      </c>
      <c r="B9" s="12" t="inlineStr">
        <is>
          <t>DNI</t>
        </is>
      </c>
      <c r="C9" s="12" t="inlineStr">
        <is>
          <t>CARGO</t>
        </is>
      </c>
      <c r="D9" s="12" t="inlineStr">
        <is>
          <t>SUELDO</t>
        </is>
      </c>
      <c r="E9" s="12" t="inlineStr">
        <is>
          <t>AFP/ONP</t>
        </is>
      </c>
      <c r="F9" s="12" t="inlineStr">
        <is>
          <t>ESSALUD</t>
        </is>
      </c>
      <c r="G9" s="12" t="inlineStr">
        <is>
          <t>NETO</t>
        </is>
      </c>
      <c r="H9" s="12" t="inlineStr">
        <is>
          <t>CTS</t>
        </is>
      </c>
      <c r="I9" s="12" t="inlineStr">
        <is>
          <t>GRATIF.</t>
        </is>
      </c>
      <c r="J9" s="12" t="inlineStr">
        <is>
          <t>VACAC.</t>
        </is>
      </c>
      <c r="K9" s="12" t="inlineStr">
        <is>
          <t>BONO</t>
        </is>
      </c>
      <c r="L9" s="12" t="inlineStr">
        <is>
          <t>BRUTO</t>
        </is>
      </c>
      <c r="M9" s="12" t="inlineStr">
        <is>
          <t>DEDUC.</t>
        </is>
      </c>
    </row>
    <row r="10">
      <c r="A10" s="13" t="inlineStr">
        <is>
          <t>Juan Perez</t>
        </is>
      </c>
      <c r="B10" s="13" t="inlineStr">
        <is>
          <t>11809380</t>
        </is>
      </c>
      <c r="C10" s="13" t="inlineStr">
        <is>
          <t>Gerente</t>
        </is>
      </c>
      <c r="D10" s="14" t="n">
        <v>-54</v>
      </c>
      <c r="E10" s="14">
        <f>D10*0.10</f>
        <v/>
      </c>
      <c r="F10" s="14">
        <f>D10*0.09</f>
        <v/>
      </c>
      <c r="G10" s="14">
        <f>D10-E10</f>
        <v/>
      </c>
      <c r="H10" s="14">
        <f>D10/12</f>
        <v/>
      </c>
      <c r="I10" s="14">
        <f>D10/6</f>
        <v/>
      </c>
      <c r="J10" s="14">
        <f>D10/12</f>
        <v/>
      </c>
      <c r="K10" s="14" t="n">
        <v>200</v>
      </c>
      <c r="L10" s="14">
        <f>D10+F10+H10+I10+J10+K10</f>
        <v/>
      </c>
      <c r="M10" s="14">
        <f>E10</f>
        <v/>
      </c>
    </row>
    <row r="11">
      <c r="A11" s="15" t="inlineStr">
        <is>
          <t>Maria Lopez</t>
        </is>
      </c>
      <c r="B11" s="15" t="inlineStr">
        <is>
          <t>36652866</t>
        </is>
      </c>
      <c r="C11" s="15" t="inlineStr">
        <is>
          <t>Vendedor</t>
        </is>
      </c>
      <c r="D11" s="16" t="n">
        <v>181</v>
      </c>
      <c r="E11" s="16">
        <f>D11*0.13</f>
        <v/>
      </c>
      <c r="F11" s="16">
        <f>D11*0.09</f>
        <v/>
      </c>
      <c r="G11" s="16">
        <f>D11-E11</f>
        <v/>
      </c>
      <c r="H11" s="16">
        <f>D11/12</f>
        <v/>
      </c>
      <c r="I11" s="16">
        <f>D11/6</f>
        <v/>
      </c>
      <c r="J11" s="16">
        <f>D11/12</f>
        <v/>
      </c>
      <c r="K11" s="16" t="n">
        <v>150</v>
      </c>
      <c r="L11" s="16">
        <f>D11+F11+H11+I11+J11+K11</f>
        <v/>
      </c>
      <c r="M11" s="16">
        <f>E11</f>
        <v/>
      </c>
    </row>
    <row r="12">
      <c r="A12" s="13" t="inlineStr">
        <is>
          <t>Carlos Ruiz</t>
        </is>
      </c>
      <c r="B12" s="13" t="inlineStr">
        <is>
          <t>78356893</t>
        </is>
      </c>
      <c r="C12" s="13" t="inlineStr">
        <is>
          <t>Cajero</t>
        </is>
      </c>
      <c r="D12" s="14" t="n">
        <v>388</v>
      </c>
      <c r="E12" s="14">
        <f>D12*0.10</f>
        <v/>
      </c>
      <c r="F12" s="14">
        <f>D12*0.09</f>
        <v/>
      </c>
      <c r="G12" s="14">
        <f>D12-E12</f>
        <v/>
      </c>
      <c r="H12" s="14">
        <f>D12/12</f>
        <v/>
      </c>
      <c r="I12" s="14">
        <f>D12/6</f>
        <v/>
      </c>
      <c r="J12" s="14">
        <f>D12/12</f>
        <v/>
      </c>
      <c r="K12" s="14" t="n">
        <v>200</v>
      </c>
      <c r="L12" s="14">
        <f>D12+F12+H12+I12+J12+K12</f>
        <v/>
      </c>
      <c r="M12" s="14">
        <f>E12</f>
        <v/>
      </c>
    </row>
    <row r="13">
      <c r="A13" s="15" t="inlineStr">
        <is>
          <t>Ana Martinez</t>
        </is>
      </c>
      <c r="B13" s="15" t="inlineStr">
        <is>
          <t>88447865</t>
        </is>
      </c>
      <c r="C13" s="15" t="inlineStr">
        <is>
          <t>Almacenero</t>
        </is>
      </c>
      <c r="D13" s="16" t="n">
        <v>-36</v>
      </c>
      <c r="E13" s="16">
        <f>D13*0.10</f>
        <v/>
      </c>
      <c r="F13" s="16">
        <f>D13*0.09</f>
        <v/>
      </c>
      <c r="G13" s="16">
        <f>D13-E13</f>
        <v/>
      </c>
      <c r="H13" s="16">
        <f>D13/12</f>
        <v/>
      </c>
      <c r="I13" s="16">
        <f>D13/6</f>
        <v/>
      </c>
      <c r="J13" s="16">
        <f>D13/12</f>
        <v/>
      </c>
      <c r="K13" s="16" t="n">
        <v>0</v>
      </c>
      <c r="L13" s="16">
        <f>D13+F13+H13+I13+J13+K13</f>
        <v/>
      </c>
      <c r="M13" s="16">
        <f>E13</f>
        <v/>
      </c>
    </row>
    <row r="14">
      <c r="A14" s="13" t="inlineStr">
        <is>
          <t>Pedro Sanchez</t>
        </is>
      </c>
      <c r="B14" s="13" t="inlineStr">
        <is>
          <t>76347073</t>
        </is>
      </c>
      <c r="C14" s="13" t="inlineStr">
        <is>
          <t>Contador</t>
        </is>
      </c>
      <c r="D14" s="14" t="n">
        <v>259</v>
      </c>
      <c r="E14" s="14">
        <f>D14*0.10</f>
        <v/>
      </c>
      <c r="F14" s="14">
        <f>D14*0.09</f>
        <v/>
      </c>
      <c r="G14" s="14">
        <f>D14-E14</f>
        <v/>
      </c>
      <c r="H14" s="14">
        <f>D14/12</f>
        <v/>
      </c>
      <c r="I14" s="14">
        <f>D14/6</f>
        <v/>
      </c>
      <c r="J14" s="14">
        <f>D14/12</f>
        <v/>
      </c>
      <c r="K14" s="14" t="n">
        <v>200</v>
      </c>
      <c r="L14" s="14">
        <f>D14+F14+H14+I14+J14+K14</f>
        <v/>
      </c>
      <c r="M14" s="14">
        <f>E14</f>
        <v/>
      </c>
    </row>
    <row r="15">
      <c r="A15" s="15" t="inlineStr">
        <is>
          <t>Laura Garcia</t>
        </is>
      </c>
      <c r="B15" s="15" t="inlineStr">
        <is>
          <t>44801739</t>
        </is>
      </c>
      <c r="C15" s="15" t="inlineStr">
        <is>
          <t>Motorizado</t>
        </is>
      </c>
      <c r="D15" s="16" t="n">
        <v>261</v>
      </c>
      <c r="E15" s="16">
        <f>D15*0.10</f>
        <v/>
      </c>
      <c r="F15" s="16">
        <f>D15*0.09</f>
        <v/>
      </c>
      <c r="G15" s="16">
        <f>D15-E15</f>
        <v/>
      </c>
      <c r="H15" s="16">
        <f>D15/12</f>
        <v/>
      </c>
      <c r="I15" s="16">
        <f>D15/6</f>
        <v/>
      </c>
      <c r="J15" s="16">
        <f>D15/12</f>
        <v/>
      </c>
      <c r="K15" s="16" t="n">
        <v>200</v>
      </c>
      <c r="L15" s="16">
        <f>D15+F15+H15+I15+J15+K15</f>
        <v/>
      </c>
      <c r="M15" s="16">
        <f>E15</f>
        <v/>
      </c>
    </row>
    <row r="16">
      <c r="A16" s="13" t="inlineStr">
        <is>
          <t>Roberto Diaz</t>
        </is>
      </c>
      <c r="B16" s="13" t="inlineStr">
        <is>
          <t>83586908</t>
        </is>
      </c>
      <c r="C16" s="13" t="inlineStr">
        <is>
          <t>Seguridad</t>
        </is>
      </c>
      <c r="D16" s="14" t="n">
        <v>100</v>
      </c>
      <c r="E16" s="14">
        <f>D16*0.13</f>
        <v/>
      </c>
      <c r="F16" s="14">
        <f>D16*0.09</f>
        <v/>
      </c>
      <c r="G16" s="14">
        <f>D16-E16</f>
        <v/>
      </c>
      <c r="H16" s="14">
        <f>D16/12</f>
        <v/>
      </c>
      <c r="I16" s="14">
        <f>D16/6</f>
        <v/>
      </c>
      <c r="J16" s="14">
        <f>D16/12</f>
        <v/>
      </c>
      <c r="K16" s="14" t="n">
        <v>100</v>
      </c>
      <c r="L16" s="14">
        <f>D16+F16+H16+I16+J16+K16</f>
        <v/>
      </c>
      <c r="M16" s="14">
        <f>E16</f>
        <v/>
      </c>
    </row>
    <row r="17">
      <c r="A17" s="15" t="inlineStr">
        <is>
          <t>Carmen Silva</t>
        </is>
      </c>
      <c r="B17" s="15" t="inlineStr">
        <is>
          <t>16252315</t>
        </is>
      </c>
      <c r="C17" s="15" t="inlineStr">
        <is>
          <t>Limpieza</t>
        </is>
      </c>
      <c r="D17" s="16" t="n">
        <v>398</v>
      </c>
      <c r="E17" s="16">
        <f>D17*0.10</f>
        <v/>
      </c>
      <c r="F17" s="16">
        <f>D17*0.09</f>
        <v/>
      </c>
      <c r="G17" s="16">
        <f>D17-E17</f>
        <v/>
      </c>
      <c r="H17" s="16">
        <f>D17/12</f>
        <v/>
      </c>
      <c r="I17" s="16">
        <f>D17/6</f>
        <v/>
      </c>
      <c r="J17" s="16">
        <f>D17/12</f>
        <v/>
      </c>
      <c r="K17" s="16" t="n">
        <v>200</v>
      </c>
      <c r="L17" s="16">
        <f>D17+F17+H17+I17+J17+K17</f>
        <v/>
      </c>
      <c r="M17" s="16">
        <f>E17</f>
        <v/>
      </c>
    </row>
    <row r="18">
      <c r="A18" s="13" t="inlineStr">
        <is>
          <t>Miguel Rojas</t>
        </is>
      </c>
      <c r="B18" s="13" t="inlineStr">
        <is>
          <t>49195445</t>
        </is>
      </c>
      <c r="C18" s="13" t="inlineStr">
        <is>
          <t>Auxiliar</t>
        </is>
      </c>
      <c r="D18" s="14" t="n">
        <v>61</v>
      </c>
      <c r="E18" s="14">
        <f>D18*0.10</f>
        <v/>
      </c>
      <c r="F18" s="14">
        <f>D18*0.09</f>
        <v/>
      </c>
      <c r="G18" s="14">
        <f>D18-E18</f>
        <v/>
      </c>
      <c r="H18" s="14">
        <f>D18/12</f>
        <v/>
      </c>
      <c r="I18" s="14">
        <f>D18/6</f>
        <v/>
      </c>
      <c r="J18" s="14">
        <f>D18/12</f>
        <v/>
      </c>
      <c r="K18" s="14" t="n">
        <v>200</v>
      </c>
      <c r="L18" s="14">
        <f>D18+F18+H18+I18+J18+K18</f>
        <v/>
      </c>
      <c r="M18" s="14">
        <f>E18</f>
        <v/>
      </c>
    </row>
    <row r="19">
      <c r="A19" s="15" t="inlineStr">
        <is>
          <t>Lucia Fernandez</t>
        </is>
      </c>
      <c r="B19" s="15" t="inlineStr">
        <is>
          <t>93982209</t>
        </is>
      </c>
      <c r="C19" s="15" t="inlineStr">
        <is>
          <t>Supervisor</t>
        </is>
      </c>
      <c r="D19" s="16" t="n">
        <v>196</v>
      </c>
      <c r="E19" s="16">
        <f>D19*0.13</f>
        <v/>
      </c>
      <c r="F19" s="16">
        <f>D19*0.09</f>
        <v/>
      </c>
      <c r="G19" s="16">
        <f>D19-E19</f>
        <v/>
      </c>
      <c r="H19" s="16">
        <f>D19/12</f>
        <v/>
      </c>
      <c r="I19" s="16">
        <f>D19/6</f>
        <v/>
      </c>
      <c r="J19" s="16">
        <f>D19/12</f>
        <v/>
      </c>
      <c r="K19" s="16" t="n">
        <v>0</v>
      </c>
      <c r="L19" s="16">
        <f>D19+F19+H19+I19+J19+K19</f>
        <v/>
      </c>
      <c r="M19" s="16">
        <f>E19</f>
        <v/>
      </c>
    </row>
    <row r="20">
      <c r="A20" s="13" t="inlineStr">
        <is>
          <t>Jorge Morales</t>
        </is>
      </c>
      <c r="B20" s="13" t="inlineStr">
        <is>
          <t>17337136</t>
        </is>
      </c>
      <c r="C20" s="13" t="inlineStr">
        <is>
          <t>Analista</t>
        </is>
      </c>
      <c r="D20" s="14" t="n">
        <v>-31</v>
      </c>
      <c r="E20" s="14">
        <f>D20*0.13</f>
        <v/>
      </c>
      <c r="F20" s="14">
        <f>D20*0.09</f>
        <v/>
      </c>
      <c r="G20" s="14">
        <f>D20-E20</f>
        <v/>
      </c>
      <c r="H20" s="14">
        <f>D20/12</f>
        <v/>
      </c>
      <c r="I20" s="14">
        <f>D20/6</f>
        <v/>
      </c>
      <c r="J20" s="14">
        <f>D20/12</f>
        <v/>
      </c>
      <c r="K20" s="14" t="n">
        <v>200</v>
      </c>
      <c r="L20" s="14">
        <f>D20+F20+H20+I20+J20+K20</f>
        <v/>
      </c>
      <c r="M20" s="14">
        <f>E20</f>
        <v/>
      </c>
    </row>
    <row r="21">
      <c r="A21" s="15" t="inlineStr">
        <is>
          <t>Patricia Vargas</t>
        </is>
      </c>
      <c r="B21" s="15" t="inlineStr">
        <is>
          <t>53330573</t>
        </is>
      </c>
      <c r="C21" s="15" t="inlineStr">
        <is>
          <t>Tecnico</t>
        </is>
      </c>
      <c r="D21" s="16" t="n">
        <v>119</v>
      </c>
      <c r="E21" s="16">
        <f>D21*0.13</f>
        <v/>
      </c>
      <c r="F21" s="16">
        <f>D21*0.09</f>
        <v/>
      </c>
      <c r="G21" s="16">
        <f>D21-E21</f>
        <v/>
      </c>
      <c r="H21" s="16">
        <f>D21/12</f>
        <v/>
      </c>
      <c r="I21" s="16">
        <f>D21/6</f>
        <v/>
      </c>
      <c r="J21" s="16">
        <f>D21/12</f>
        <v/>
      </c>
      <c r="K21" s="16" t="n">
        <v>150</v>
      </c>
      <c r="L21" s="16">
        <f>D21+F21+H21+I21+J21+K21</f>
        <v/>
      </c>
      <c r="M21" s="16">
        <f>E21</f>
        <v/>
      </c>
    </row>
    <row r="22">
      <c r="A22" s="13" t="inlineStr">
        <is>
          <t>Diego Torres</t>
        </is>
      </c>
      <c r="B22" s="13" t="inlineStr">
        <is>
          <t>39467609</t>
        </is>
      </c>
      <c r="C22" s="13" t="inlineStr">
        <is>
          <t>Operario</t>
        </is>
      </c>
      <c r="D22" s="14" t="n">
        <v>188</v>
      </c>
      <c r="E22" s="14">
        <f>D22*0.13</f>
        <v/>
      </c>
      <c r="F22" s="14">
        <f>D22*0.09</f>
        <v/>
      </c>
      <c r="G22" s="14">
        <f>D22-E22</f>
        <v/>
      </c>
      <c r="H22" s="14">
        <f>D22/12</f>
        <v/>
      </c>
      <c r="I22" s="14">
        <f>D22/6</f>
        <v/>
      </c>
      <c r="J22" s="14">
        <f>D22/12</f>
        <v/>
      </c>
      <c r="K22" s="14" t="n">
        <v>150</v>
      </c>
      <c r="L22" s="14">
        <f>D22+F22+H22+I22+J22+K22</f>
        <v/>
      </c>
      <c r="M22" s="14">
        <f>E22</f>
        <v/>
      </c>
    </row>
    <row r="23">
      <c r="A23" s="17" t="inlineStr">
        <is>
          <t>TOTALES</t>
        </is>
      </c>
      <c r="D23" s="18">
        <f>SUM(D10:D22)</f>
        <v/>
      </c>
      <c r="E23" s="18">
        <f>SUM(E10:E22)</f>
        <v/>
      </c>
      <c r="F23" s="18">
        <f>SUM(F10:F22)</f>
        <v/>
      </c>
      <c r="G23" s="18">
        <f>SUM(G10:G22)</f>
        <v/>
      </c>
      <c r="H23" s="18">
        <f>SUM(H10:H22)</f>
        <v/>
      </c>
      <c r="I23" s="18">
        <f>SUM(I10:I22)</f>
        <v/>
      </c>
      <c r="J23" s="18">
        <f>SUM(J10:J22)</f>
        <v/>
      </c>
      <c r="K23" s="18">
        <f>SUM(K10:K22)</f>
        <v/>
      </c>
      <c r="L23" s="18">
        <f>SUM(L10:L22)</f>
        <v/>
      </c>
      <c r="M23" s="18">
        <f>SUM(M10:M22)</f>
        <v/>
      </c>
    </row>
    <row r="39">
      <c r="A39" s="19" t="inlineStr">
        <is>
          <t>REGIMEN</t>
        </is>
      </c>
      <c r="B39" s="19" t="inlineStr">
        <is>
          <t>CANTIDAD</t>
        </is>
      </c>
    </row>
    <row r="40">
      <c r="A40" t="inlineStr">
        <is>
          <t>AFP</t>
        </is>
      </c>
      <c r="B40" t="n">
        <v>10</v>
      </c>
    </row>
    <row r="41">
      <c r="A41" t="inlineStr">
        <is>
          <t>ONP</t>
        </is>
      </c>
      <c r="B41" t="n">
        <v>3</v>
      </c>
    </row>
  </sheetData>
  <mergeCells count="11">
    <mergeCell ref="A4:B4"/>
    <mergeCell ref="G4:H4"/>
    <mergeCell ref="E4:F4"/>
    <mergeCell ref="A1:M1"/>
    <mergeCell ref="A8:M8"/>
    <mergeCell ref="C5:D5"/>
    <mergeCell ref="A5:B5"/>
    <mergeCell ref="G5:H5"/>
    <mergeCell ref="E5:F5"/>
    <mergeCell ref="A2:M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0B894"/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 ht="45" customHeight="1">
      <c r="A1" s="1" t="inlineStr">
        <is>
          <t>BOLETA DE PAGO</t>
        </is>
      </c>
    </row>
    <row r="2" ht="28" customHeight="1">
      <c r="A2" s="20" t="inlineStr">
        <is>
          <t>Merceria — Periodo Enero 2025</t>
        </is>
      </c>
    </row>
    <row r="4">
      <c r="A4" s="21" t="inlineStr">
        <is>
          <t>DATOS DEL TRABAJADOR</t>
        </is>
      </c>
      <c r="B4" s="22" t="inlineStr"/>
    </row>
    <row r="5">
      <c r="A5" t="inlineStr">
        <is>
          <t>Nombre:</t>
        </is>
      </c>
      <c r="B5" t="inlineStr">
        <is>
          <t>Juan Perez</t>
        </is>
      </c>
    </row>
    <row r="6">
      <c r="A6" t="inlineStr">
        <is>
          <t>DNI:</t>
        </is>
      </c>
      <c r="B6" t="inlineStr">
        <is>
          <t>12345678</t>
        </is>
      </c>
    </row>
    <row r="7">
      <c r="A7" t="inlineStr">
        <is>
          <t>Cargo:</t>
        </is>
      </c>
      <c r="B7" t="inlineStr">
        <is>
          <t>Gerente</t>
        </is>
      </c>
    </row>
    <row r="8">
      <c r="A8" t="inlineStr"/>
      <c r="B8" t="inlineStr"/>
    </row>
    <row r="9">
      <c r="A9" s="21" t="inlineStr">
        <is>
          <t>INGRESOS</t>
        </is>
      </c>
      <c r="B9" s="22" t="inlineStr">
        <is>
          <t>MONTO S/</t>
        </is>
      </c>
    </row>
    <row r="10">
      <c r="A10" t="inlineStr">
        <is>
          <t>Sueldo Basico</t>
        </is>
      </c>
      <c r="B10" s="23" t="n">
        <v>13</v>
      </c>
    </row>
    <row r="11">
      <c r="A11" t="inlineStr">
        <is>
          <t>Asignacion Familiar</t>
        </is>
      </c>
      <c r="B11" t="n">
        <v>0</v>
      </c>
    </row>
    <row r="12">
      <c r="A12" t="inlineStr">
        <is>
          <t>Bonificacion</t>
        </is>
      </c>
      <c r="B12" t="n">
        <v>0</v>
      </c>
    </row>
    <row r="13">
      <c r="A13" t="inlineStr">
        <is>
          <t>Horas Extra</t>
        </is>
      </c>
      <c r="B13" t="n">
        <v>0</v>
      </c>
    </row>
    <row r="14">
      <c r="A14" s="17" t="inlineStr">
        <is>
          <t>Total Ingresos</t>
        </is>
      </c>
      <c r="B14" s="17">
        <f>B7+B8+B9+B10</f>
        <v/>
      </c>
    </row>
    <row r="15">
      <c r="A15" t="inlineStr"/>
      <c r="B15" t="inlineStr"/>
    </row>
    <row r="16">
      <c r="A16" s="21" t="inlineStr">
        <is>
          <t>DEDUCCIONES</t>
        </is>
      </c>
      <c r="B16" s="22" t="inlineStr">
        <is>
          <t>MONTO S/</t>
        </is>
      </c>
    </row>
    <row r="17">
      <c r="A17" t="inlineStr">
        <is>
          <t>AFP (10%)</t>
        </is>
      </c>
      <c r="B17">
        <f>B7*0.10</f>
        <v/>
      </c>
    </row>
    <row r="18">
      <c r="A18" t="inlineStr">
        <is>
          <t>EsSalud (9%)</t>
        </is>
      </c>
      <c r="B18">
        <f>B7*0.09</f>
        <v/>
      </c>
    </row>
    <row r="19">
      <c r="A19" s="17" t="inlineStr">
        <is>
          <t>Total Deducciones</t>
        </is>
      </c>
      <c r="B19" s="17">
        <f>B14+B15</f>
        <v/>
      </c>
    </row>
    <row r="20">
      <c r="A20" t="inlineStr"/>
      <c r="B20" t="inlineStr"/>
    </row>
    <row r="21">
      <c r="A21" s="17" t="inlineStr">
        <is>
          <t>NETO A PAGAR</t>
        </is>
      </c>
      <c r="B21" s="17">
        <f>B11-B16</f>
        <v/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2026-09-01T00:20:53Z</dcterms:created>
  <dcterms:modified xsi:type="dcterms:W3CDTF">2026-09-01T00:20:53Z</dcterms:modified>
</cp:coreProperties>
</file>