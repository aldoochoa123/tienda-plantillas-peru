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<sst xmlns="http://schemas.openxmlformats.org/spreadsheetml/2006/main" count="129" uniqueCount="91">
  <si>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FARMACIA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</si>
  <si>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</si>
  <si>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</si>
  <si>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</si>
  <si>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</si>
  <si>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</si>
  <si>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</si>
  <si>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</si>
  <si>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</si>
  <si>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</si>
  <si>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</si>
  <si>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</si>
  <si>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Vitamina C</t>
  </si>
  <si>
    <t>08:30</t>
  </si>
  <si>
    <t>B001-10001</t>
  </si>
  <si>
    <t>Yape</t>
  </si>
  <si>
    <t>Curitas</t>
  </si>
  <si>
    <t>09:15</t>
  </si>
  <si>
    <t>B001-10002</t>
  </si>
  <si>
    <t>Plin</t>
  </si>
  <si>
    <t>Alcohol en gel</t>
  </si>
  <si>
    <t>09:45</t>
  </si>
  <si>
    <t>B001-10003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</si>
  <si>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</si>
  <si>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</si>
  <si>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</si>
  <si>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</si>
  <si>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</si>
  <si>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</si>
  <si>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</si>
  <si>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</si>
  <si>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</si>
  <si>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Ibuprofeno</t>
  </si>
  <si>
    <t>12:50</t>
  </si>
  <si>
    <t>B001-10008</t>
  </si>
  <si>
    <t>Transferencia</t>
  </si>
  <si>
    <t>Jarabe para la tos</t>
  </si>
  <si>
    <t>13:30</t>
  </si>
  <si>
    <t>B001-10009</t>
  </si>
  <si>
    <t xml:space="preserve"> protector solar</t>
  </si>
  <si>
    <t>14:10</t>
  </si>
  <si>
    <t>B001-10010</t>
  </si>
  <si>
    <t>Amoxicilina</t>
  </si>
  <si>
    <t>15:00</t>
  </si>
  <si>
    <t>B001-10011</t>
  </si>
  <si>
    <t>Paracetamol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</si>
  <si>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</si>
  <si>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</si>
  <si>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</si>
  <si>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</si>
  <si>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</si>
  <si>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</si>
  <si>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</si>
  <si>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</si>
  <si>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</si>
  <si>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</si>
  <si>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</si>
  <si>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</si>
  <si>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</si>
  <si>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</si>
  <si>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</si>
  <si>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</si>
  <si>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</si>
  <si>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</si>
  <si>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</si>
  <si>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</si>
  <si>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</si>
  <si>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</si>
  <si>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</si>
  <si>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</si>
  <si>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</si>
  <si>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</si>
  <si>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</si>
  <si>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</si>
  <si>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</si>
  <si>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</si>
  <si>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</si>
  <si>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</si>
  <si>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</si>
  <si>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FARMACIA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</si>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</sst>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15.85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57.79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24.58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31.92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45.95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20</v>
      </c>
      <c r="E10" s="7">
        <v>24.27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16</v>
      </c>
      <c r="E11" s="5">
        <v>55.34</v>
      </c>
      <c r="F11" s="5">
        <f>ROUND(E11/1.18*0.18,2)</f>
      </c>
      <c r="G11" s="5">
        <f>E11</f>
      </c>
    </row>
    <row r="12" spans="1:7" x14ac:dyDescent="0.25">
      <c r="A12" s="6" t="s">
        <v>30</v>
      </c>
      <c r="B12" s="6" t="s">
        <v>31</v>
      </c>
      <c r="C12" s="6" t="s">
        <v>11</v>
      </c>
      <c r="D12" s="6" t="s">
        <v>32</v>
      </c>
      <c r="E12" s="7">
        <v>29.78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34.91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3.79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36.39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45</v>
      </c>
      <c r="E16" s="7">
        <v>12.46</v>
      </c>
      <c r="F16" s="7">
        <f>ROUND(E16/1.18*0.18,2)</f>
      </c>
      <c r="G16" s="7">
        <f>E16</f>
      </c>
    </row>
    <row r="17" spans="1:7" x14ac:dyDescent="0.25">
      <c r="A17" s="4" t="s">
        <v>46</v>
      </c>
      <c r="B17" s="4" t="s">
        <v>47</v>
      </c>
      <c r="C17" s="4" t="s">
        <v>19</v>
      </c>
      <c r="D17" s="4" t="s">
        <v>39</v>
      </c>
      <c r="E17" s="5">
        <v>42.73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39</v>
      </c>
      <c r="E18" s="7">
        <v>22.72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25</v>
      </c>
      <c r="D19" s="4" t="s">
        <v>20</v>
      </c>
      <c r="E19" s="5">
        <v>38.68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32</v>
      </c>
      <c r="E20" s="7">
        <v>55.34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16</v>
      </c>
      <c r="E21" s="5">
        <v>35.26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12</v>
      </c>
      <c r="E22" s="7">
        <v>17.82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35</v>
      </c>
      <c r="D23" s="4" t="s">
        <v>12</v>
      </c>
      <c r="E23" s="5">
        <v>53.33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32</v>
      </c>
      <c r="E24" s="7">
        <v>34.48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9</v>
      </c>
      <c r="C8" s="7">
        <f>20*B8</f>
      </c>
    </row>
    <row r="9" spans="1:3" x14ac:dyDescent="0.25">
      <c r="A9" s="4" t="s">
        <v>71</v>
      </c>
      <c r="B9" s="8">
        <v>19</v>
      </c>
      <c r="C9" s="5">
        <f>10*B9</f>
      </c>
    </row>
    <row r="10" spans="1:3" x14ac:dyDescent="0.25">
      <c r="A10" s="6" t="s">
        <v>72</v>
      </c>
      <c r="B10" s="9">
        <v>8</v>
      </c>
      <c r="C10" s="7">
        <f>5*B10</f>
      </c>
    </row>
    <row r="11" spans="1:3" x14ac:dyDescent="0.25">
      <c r="A11" s="4" t="s">
        <v>73</v>
      </c>
      <c r="B11" s="8">
        <v>19</v>
      </c>
      <c r="C11" s="5">
        <f>2*B11</f>
      </c>
    </row>
    <row r="12" spans="1:3" x14ac:dyDescent="0.25">
      <c r="A12" s="6" t="s">
        <v>74</v>
      </c>
      <c r="B12" s="9">
        <v>3</v>
      </c>
      <c r="C12" s="7">
        <f>1*B12</f>
      </c>
    </row>
    <row r="13" spans="1:3" x14ac:dyDescent="0.25">
      <c r="A13" s="4" t="s">
        <v>75</v>
      </c>
      <c r="B13" s="8">
        <v>9</v>
      </c>
      <c r="C13" s="5">
        <f>0.5*B13</f>
      </c>
    </row>
    <row r="14" spans="1:3" x14ac:dyDescent="0.25">
      <c r="A14" s="6" t="s">
        <v>76</v>
      </c>
      <c r="B14" s="9">
        <v>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{E512CE4F-6E9C-4256-9757-69BB315A6CBF}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12CE4F-6E9C-4256-9757-69BB315A6CB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