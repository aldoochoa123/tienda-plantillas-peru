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<sst xmlns="http://schemas.openxmlformats.org/spreadsheetml/2006/main" count="123" uniqueCount="47">
  <si>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MERCADO DE ABASTOS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</si>
  <si>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</si>
  <si>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</si>
  <si>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</si>
  <si>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</si>
  <si>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</si>
  <si>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</si>
  <si>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</si>
  <si>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</si>
  <si>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</si>
  <si>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</si>
  <si>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</si>
  <si>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AgroPacas S.A.C.</t>
  </si>
  <si>
    <t>20534567891</t>
  </si>
  <si>
    <t>Puesto de frutas</t>
  </si>
  <si>
    <t>Contado</t>
  </si>
  <si>
    <t>Puesto de especias</t>
  </si>
  <si>
    <t>Crédito 15 días</t>
  </si>
  <si>
    <t>Mayorista San Martín</t>
  </si>
  <si>
    <t>20487654321</t>
  </si>
  <si>
    <t>Puesto de menestras</t>
  </si>
  <si>
    <t>Crédito 30 días</t>
  </si>
  <si>
    <t>Mayorista Central E.I.R.L.</t>
  </si>
  <si>
    <t>20456789012</t>
  </si>
  <si>
    <t>Puesto de verduras</t>
  </si>
  <si>
    <t>Distribuciones Andinas</t>
  </si>
  <si>
    <t>20612309876</t>
  </si>
  <si>
    <t>Puesto de pescados</t>
  </si>
  <si>
    <t>Puesto de lácteos</t>
  </si>
  <si>
    <t>Importaciones del Sur S.A.</t>
  </si>
  <si>
    <t>20698765432</t>
  </si>
  <si>
    <t>Distribuidora Lima S.A.C.</t>
  </si>
  <si>
    <t>20512345678</t>
  </si>
  <si>
    <t>Puesto de carnes</t>
  </si>
  <si>
    <t>Puesto de abarrotes</t>
  </si>
  <si>
    <t/>
  </si>
  <si>
    <t>RESUMEN DE COMPRAS — MERCADO DE ABASTOS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</si>
  <si>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</si>
  <si>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</si>
  <si>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</si>
  <si>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</si>
  <si>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</si>
  <si>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</si>
  <si>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</si>
  <si>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</si>
  <si>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</si>
  <si>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Mercado de Abastos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</si>
</sst>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46159</v>
      </c>
      <c r="B5" s="5" t="s">
        <v>12</v>
      </c>
      <c r="C5" s="5" t="s">
        <v>13</v>
      </c>
      <c r="D5" s="5" t="s">
        <v>14</v>
      </c>
      <c r="E5" s="6">
        <v>27</v>
      </c>
      <c r="F5" s="7">
        <v>26.2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46134</v>
      </c>
      <c r="B6" s="9" t="s">
        <v>12</v>
      </c>
      <c r="C6" s="9" t="s">
        <v>13</v>
      </c>
      <c r="D6" s="9" t="s">
        <v>16</v>
      </c>
      <c r="E6" s="10">
        <v>10</v>
      </c>
      <c r="F6" s="11">
        <v>46</v>
      </c>
      <c r="G6" s="11">
        <f>E6*F6</f>
      </c>
      <c r="H6" s="11">
        <f>ROUND(G6*0.18,2)</f>
      </c>
      <c r="I6" s="11">
        <f>G6+H6</f>
      </c>
      <c r="J6" s="9" t="s">
        <v>17</v>
      </c>
    </row>
    <row r="7" spans="1:10" x14ac:dyDescent="0.25">
      <c r="A7" s="4">
        <v>46188</v>
      </c>
      <c r="B7" s="5" t="s">
        <v>18</v>
      </c>
      <c r="C7" s="5" t="s">
        <v>19</v>
      </c>
      <c r="D7" s="5" t="s">
        <v>20</v>
      </c>
      <c r="E7" s="6">
        <v>16</v>
      </c>
      <c r="F7" s="7">
        <v>44.65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46084</v>
      </c>
      <c r="B8" s="9" t="s">
        <v>22</v>
      </c>
      <c r="C8" s="9" t="s">
        <v>23</v>
      </c>
      <c r="D8" s="9" t="s">
        <v>16</v>
      </c>
      <c r="E8" s="10">
        <v>21</v>
      </c>
      <c r="F8" s="11">
        <v>65.98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46168</v>
      </c>
      <c r="B9" s="5" t="s">
        <v>22</v>
      </c>
      <c r="C9" s="5" t="s">
        <v>23</v>
      </c>
      <c r="D9" s="5" t="s">
        <v>24</v>
      </c>
      <c r="E9" s="6">
        <v>10</v>
      </c>
      <c r="F9" s="7">
        <v>4.58</v>
      </c>
      <c r="G9" s="7">
        <f>E9*F9</f>
      </c>
      <c r="H9" s="7">
        <f>ROUND(G9*0.18,2)</f>
      </c>
      <c r="I9" s="7">
        <f>G9+H9</f>
      </c>
      <c r="J9" s="5" t="s">
        <v>17</v>
      </c>
    </row>
    <row r="10" spans="1:10" x14ac:dyDescent="0.25">
      <c r="A10" s="8">
        <v>46197</v>
      </c>
      <c r="B10" s="9" t="s">
        <v>25</v>
      </c>
      <c r="C10" s="9" t="s">
        <v>26</v>
      </c>
      <c r="D10" s="9" t="s">
        <v>27</v>
      </c>
      <c r="E10" s="10">
        <v>10</v>
      </c>
      <c r="F10" s="11">
        <v>44.81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46184</v>
      </c>
      <c r="B11" s="5" t="s">
        <v>12</v>
      </c>
      <c r="C11" s="5" t="s">
        <v>13</v>
      </c>
      <c r="D11" s="5" t="s">
        <v>24</v>
      </c>
      <c r="E11" s="6">
        <v>28</v>
      </c>
      <c r="F11" s="7">
        <v>14.48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46213</v>
      </c>
      <c r="B12" s="9" t="s">
        <v>18</v>
      </c>
      <c r="C12" s="9" t="s">
        <v>19</v>
      </c>
      <c r="D12" s="9" t="s">
        <v>20</v>
      </c>
      <c r="E12" s="10">
        <v>11</v>
      </c>
      <c r="F12" s="11">
        <v>72</v>
      </c>
      <c r="G12" s="11">
        <f>E12*F12</f>
      </c>
      <c r="H12" s="11">
        <f>ROUND(G12*0.18,2)</f>
      </c>
      <c r="I12" s="11">
        <f>G12+H12</f>
      </c>
      <c r="J12" s="9" t="s">
        <v>17</v>
      </c>
    </row>
    <row r="13" spans="1:10" x14ac:dyDescent="0.25">
      <c r="A13" s="4">
        <v>46097</v>
      </c>
      <c r="B13" s="5" t="s">
        <v>18</v>
      </c>
      <c r="C13" s="5" t="s">
        <v>19</v>
      </c>
      <c r="D13" s="5" t="s">
        <v>28</v>
      </c>
      <c r="E13" s="6">
        <v>13</v>
      </c>
      <c r="F13" s="7">
        <v>20.35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46165</v>
      </c>
      <c r="B14" s="9" t="s">
        <v>29</v>
      </c>
      <c r="C14" s="9" t="s">
        <v>30</v>
      </c>
      <c r="D14" s="9" t="s">
        <v>16</v>
      </c>
      <c r="E14" s="10">
        <v>23</v>
      </c>
      <c r="F14" s="11">
        <v>26.42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46195</v>
      </c>
      <c r="B15" s="5" t="s">
        <v>25</v>
      </c>
      <c r="C15" s="5" t="s">
        <v>26</v>
      </c>
      <c r="D15" s="5" t="s">
        <v>20</v>
      </c>
      <c r="E15" s="6">
        <v>6</v>
      </c>
      <c r="F15" s="7">
        <v>48.96</v>
      </c>
      <c r="G15" s="7">
        <f>E15*F15</f>
      </c>
      <c r="H15" s="7">
        <f>ROUND(G15*0.18,2)</f>
      </c>
      <c r="I15" s="7">
        <f>G15+H15</f>
      </c>
      <c r="J15" s="5" t="s">
        <v>17</v>
      </c>
    </row>
    <row r="16" spans="1:10" x14ac:dyDescent="0.25">
      <c r="A16" s="8">
        <v>46157</v>
      </c>
      <c r="B16" s="9" t="s">
        <v>22</v>
      </c>
      <c r="C16" s="9" t="s">
        <v>23</v>
      </c>
      <c r="D16" s="9" t="s">
        <v>20</v>
      </c>
      <c r="E16" s="10">
        <v>29</v>
      </c>
      <c r="F16" s="11">
        <v>6.53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46182</v>
      </c>
      <c r="B17" s="5" t="s">
        <v>22</v>
      </c>
      <c r="C17" s="5" t="s">
        <v>23</v>
      </c>
      <c r="D17" s="5" t="s">
        <v>14</v>
      </c>
      <c r="E17" s="6">
        <v>23</v>
      </c>
      <c r="F17" s="7">
        <v>66.24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46164</v>
      </c>
      <c r="B18" s="9" t="s">
        <v>31</v>
      </c>
      <c r="C18" s="9" t="s">
        <v>32</v>
      </c>
      <c r="D18" s="9" t="s">
        <v>20</v>
      </c>
      <c r="E18" s="10">
        <v>22</v>
      </c>
      <c r="F18" s="11">
        <v>69.95</v>
      </c>
      <c r="G18" s="11">
        <f>E18*F18</f>
      </c>
      <c r="H18" s="11">
        <f>ROUND(G18*0.18,2)</f>
      </c>
      <c r="I18" s="11">
        <f>G18+H18</f>
      </c>
      <c r="J18" s="9" t="s">
        <v>17</v>
      </c>
    </row>
    <row r="19" spans="1:10" x14ac:dyDescent="0.25">
      <c r="A19" s="4">
        <v>46150</v>
      </c>
      <c r="B19" s="5" t="s">
        <v>18</v>
      </c>
      <c r="C19" s="5" t="s">
        <v>19</v>
      </c>
      <c r="D19" s="5" t="s">
        <v>20</v>
      </c>
      <c r="E19" s="6">
        <v>30</v>
      </c>
      <c r="F19" s="7">
        <v>36.7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46164</v>
      </c>
      <c r="B20" s="9" t="s">
        <v>12</v>
      </c>
      <c r="C20" s="9" t="s">
        <v>13</v>
      </c>
      <c r="D20" s="9" t="s">
        <v>33</v>
      </c>
      <c r="E20" s="10">
        <v>24</v>
      </c>
      <c r="F20" s="11">
        <v>78.33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46175</v>
      </c>
      <c r="B21" s="5" t="s">
        <v>31</v>
      </c>
      <c r="C21" s="5" t="s">
        <v>32</v>
      </c>
      <c r="D21" s="5" t="s">
        <v>27</v>
      </c>
      <c r="E21" s="6">
        <v>16</v>
      </c>
      <c r="F21" s="7">
        <v>20.72</v>
      </c>
      <c r="G21" s="7">
        <f>E21*F21</f>
      </c>
      <c r="H21" s="7">
        <f>ROUND(G21*0.18,2)</f>
      </c>
      <c r="I21" s="7">
        <f>G21+H21</f>
      </c>
      <c r="J21" s="5" t="s">
        <v>17</v>
      </c>
    </row>
    <row r="22" spans="1:10" x14ac:dyDescent="0.25">
      <c r="A22" s="8">
        <v>46190</v>
      </c>
      <c r="B22" s="9" t="s">
        <v>31</v>
      </c>
      <c r="C22" s="9" t="s">
        <v>32</v>
      </c>
      <c r="D22" s="9" t="s">
        <v>34</v>
      </c>
      <c r="E22" s="10">
        <v>13</v>
      </c>
      <c r="F22" s="11">
        <v>53.68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46086</v>
      </c>
      <c r="B23" s="5" t="s">
        <v>29</v>
      </c>
      <c r="C23" s="5" t="s">
        <v>30</v>
      </c>
      <c r="D23" s="5" t="s">
        <v>24</v>
      </c>
      <c r="E23" s="6">
        <v>22</v>
      </c>
      <c r="F23" s="7">
        <v>33.99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46107</v>
      </c>
      <c r="B24" s="9" t="s">
        <v>25</v>
      </c>
      <c r="C24" s="9" t="s">
        <v>26</v>
      </c>
      <c r="D24" s="9" t="s">
        <v>24</v>
      </c>
      <c r="E24" s="10">
        <v>22</v>
      </c>
      <c r="F24" s="11">
        <v>58.73</v>
      </c>
      <c r="G24" s="11">
        <f>E24*F24</f>
      </c>
      <c r="H24" s="11">
        <f>ROUND(G24*0.18,2)</f>
      </c>
      <c r="I24" s="11">
        <f>G24+H24</f>
      </c>
      <c r="J24" s="9" t="s">
        <v>17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31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22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29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12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18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25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17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{DC6E2442-DD1D-4BE2-AA3D-AF5C045F4C6A}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{49135181-E216-486D-B260-8A0D9E430A1E}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C6E2442-DD1D-4BE2-AA3D-AF5C045F4C6A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49135181-E216-486D-B260-8A0D9E430A1E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