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unto de Equilibrio" state="visible" r:id="rId4"/>
  </sheets>
  <calcPr calcId="171027"/>
</workbook>
</file>

<file path=xl/sharedStrings.xml><?xml version="1.0" encoding="utf-8"?>
<sst xmlns="http://schemas.openxmlformats.org/spreadsheetml/2006/main" count="19" uniqueCount="19">
  <si>
    <t>ANÁLISIS DE PUNTO DE EQUILIBRIO — TIENDA DE CELULARES</t>
  </si>
  <si>
    <t>¿Cuánto necesitas vender para no perder?</t>
  </si>
  <si>
    <t>DATOS DE ENTRADA</t>
  </si>
  <si>
    <t>Precio unitario de venta</t>
  </si>
  <si>
    <t>Costo variable unitario</t>
  </si>
  <si>
    <t>Margen de contribución unitario</t>
  </si>
  <si>
    <t>Costos fijos totales</t>
  </si>
  <si>
    <t>RESULTADOS</t>
  </si>
  <si>
    <t>Margen de contribución %</t>
  </si>
  <si>
    <t>Punto de equilibrio (unidades)</t>
  </si>
  <si>
    <t>Punto de equilibrio (S/)</t>
  </si>
  <si>
    <t>Ventas para utilidad del 20%</t>
  </si>
  <si>
    <t>SIMULACIÓN DE ESCENARIOS</t>
  </si>
  <si>
    <t>Unidades Vendidas</t>
  </si>
  <si>
    <t>Ingresos</t>
  </si>
  <si>
    <t>Costos Variables</t>
  </si>
  <si>
    <t>Costos Fijos</t>
  </si>
  <si>
    <t>Utilidad / (Pérdida)</t>
  </si>
  <si>
    <t>Tienda de Celulares · Punto de Equilibrio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</si>
</sst>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E7F6EC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3" fillId="3" borderId="0" xfId="0" applyFont="1" applyFill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5" fillId="5" borderId="1" xfId="0" applyFont="1" applyFill="1" applyBorder="1" applyAlignment="1">
      <alignment horizontal="left" vertical="center"/>
    </xf>
    <xf numFmtId="3" fontId="5" fillId="5" borderId="1" xfId="0" applyNumberFormat="1" applyFont="1" applyFill="1" applyBorder="1" applyAlignment="1">
      <alignment horizontal="right" vertical="center"/>
    </xf>
    <xf numFmtId="164" fontId="5" fillId="5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6" fillId="2" borderId="1" xfId="0" applyFont="1" applyFill="1" applyBorder="1" applyAlignment="1">
      <alignment horizontal="center" vertical="center" wrapText="1"/>
    </xf>
    <xf numFmtId="3" fontId="4" fillId="0" borderId="1" xfId="0" applyNumberFormat="1" applyFont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lef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30" customWidth="1"/>
    <col min="2" max="4" width="16" customWidth="1"/>
    <col min="5" max="5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3" x14ac:dyDescent="0.25">
      <c r="A4" s="3" t="s">
        <v>2</v>
      </c>
      <c r="B4" s="3"/>
      <c r="C4" s="3"/>
    </row>
    <row r="5" spans="1:2" x14ac:dyDescent="0.25">
      <c r="A5" s="4" t="s">
        <v>3</v>
      </c>
      <c r="B5" s="5">
        <v>33</v>
      </c>
    </row>
    <row r="6" spans="1:2" x14ac:dyDescent="0.25">
      <c r="A6" s="6" t="s">
        <v>4</v>
      </c>
      <c r="B6" s="7">
        <v>16</v>
      </c>
    </row>
    <row r="7" spans="1:2" x14ac:dyDescent="0.25">
      <c r="A7" s="4" t="s">
        <v>5</v>
      </c>
      <c r="B7" s="5">
        <f>B5-B6</f>
      </c>
    </row>
    <row r="8" spans="1:2" x14ac:dyDescent="0.25">
      <c r="A8" s="6" t="s">
        <v>6</v>
      </c>
      <c r="B8" s="7">
        <v>14042</v>
      </c>
    </row>
    <row r="10" spans="1:3" x14ac:dyDescent="0.25">
      <c r="A10" s="8" t="s">
        <v>7</v>
      </c>
      <c r="B10" s="8"/>
      <c r="C10" s="8"/>
    </row>
    <row r="11" spans="1:2" x14ac:dyDescent="0.25">
      <c r="A11" s="4" t="s">
        <v>8</v>
      </c>
      <c r="B11" s="9">
        <f>B7/B5</f>
      </c>
    </row>
    <row r="12" spans="1:2" x14ac:dyDescent="0.25">
      <c r="A12" s="10" t="s">
        <v>9</v>
      </c>
      <c r="B12" s="11">
        <f>INT(B8/B7)+IF(MOD(B8/B7,1)&gt;0,1,0)</f>
      </c>
    </row>
    <row r="13" spans="1:2" x14ac:dyDescent="0.25">
      <c r="A13" s="10" t="s">
        <v>10</v>
      </c>
      <c r="B13" s="12">
        <f>B12*B5</f>
      </c>
    </row>
    <row r="14" spans="1:2" x14ac:dyDescent="0.25">
      <c r="A14" s="6" t="s">
        <v>11</v>
      </c>
      <c r="B14" s="13">
        <f>B8/(B7-B7*0.2)</f>
      </c>
    </row>
    <row r="16" spans="1:5" x14ac:dyDescent="0.25">
      <c r="A16" s="14" t="s">
        <v>12</v>
      </c>
      <c r="B16" s="14"/>
      <c r="C16" s="14"/>
      <c r="D16" s="14"/>
      <c r="E16" s="14"/>
    </row>
    <row r="17" ht="22" customHeight="1" spans="1:5" x14ac:dyDescent="0.25">
      <c r="A17" s="15" t="s">
        <v>13</v>
      </c>
      <c r="B17" s="15" t="s">
        <v>14</v>
      </c>
      <c r="C17" s="15" t="s">
        <v>15</v>
      </c>
      <c r="D17" s="15" t="s">
        <v>16</v>
      </c>
      <c r="E17" s="15" t="s">
        <v>17</v>
      </c>
    </row>
    <row r="18" spans="1:5" x14ac:dyDescent="0.25">
      <c r="A18" s="16">
        <v>413</v>
      </c>
      <c r="B18" s="5">
        <f>A18*B5</f>
      </c>
      <c r="C18" s="5">
        <f>A18*B6</f>
      </c>
      <c r="D18" s="5">
        <v>14042</v>
      </c>
      <c r="E18" s="5">
        <f>B18-C18-D18</f>
      </c>
    </row>
    <row r="19" spans="1:5" x14ac:dyDescent="0.25">
      <c r="A19" s="17">
        <v>620</v>
      </c>
      <c r="B19" s="7">
        <f>A19*B5</f>
      </c>
      <c r="C19" s="7">
        <f>A19*B6</f>
      </c>
      <c r="D19" s="7">
        <v>14042</v>
      </c>
      <c r="E19" s="7">
        <f>B19-C19-D19</f>
      </c>
    </row>
    <row r="20" spans="1:5" x14ac:dyDescent="0.25">
      <c r="A20" s="16">
        <v>826</v>
      </c>
      <c r="B20" s="5">
        <f>A20*B5</f>
      </c>
      <c r="C20" s="5">
        <f>A20*B6</f>
      </c>
      <c r="D20" s="5">
        <v>14042</v>
      </c>
      <c r="E20" s="5">
        <f>B20-C20-D20</f>
      </c>
    </row>
    <row r="21" spans="1:5" x14ac:dyDescent="0.25">
      <c r="A21" s="17">
        <v>1033</v>
      </c>
      <c r="B21" s="7">
        <f>A21*B5</f>
      </c>
      <c r="C21" s="7">
        <f>A21*B6</f>
      </c>
      <c r="D21" s="7">
        <v>14042</v>
      </c>
      <c r="E21" s="7">
        <f>B21-C21-D21</f>
      </c>
    </row>
    <row r="22" spans="1:5" x14ac:dyDescent="0.25">
      <c r="A22" s="16">
        <v>1239</v>
      </c>
      <c r="B22" s="5">
        <f>A22*B5</f>
      </c>
      <c r="C22" s="5">
        <f>A22*B6</f>
      </c>
      <c r="D22" s="5">
        <v>14042</v>
      </c>
      <c r="E22" s="5">
        <f>B22-C22-D22</f>
      </c>
    </row>
    <row r="23" spans="1:5" x14ac:dyDescent="0.25">
      <c r="A23" s="17">
        <v>1652</v>
      </c>
      <c r="B23" s="7">
        <f>A23*B5</f>
      </c>
      <c r="C23" s="7">
        <f>A23*B6</f>
      </c>
      <c r="D23" s="7">
        <v>14042</v>
      </c>
      <c r="E23" s="7">
        <f>B23-C23-D23</f>
      </c>
    </row>
    <row r="26" spans="1:6" x14ac:dyDescent="0.25">
      <c r="A26" s="18" t="s">
        <v>18</v>
      </c>
      <c r="B26" s="18"/>
      <c r="C26" s="18"/>
      <c r="D26" s="18"/>
      <c r="E26" s="18"/>
      <c r="F26" s="18"/>
    </row>
  </sheetData>
  <mergeCells count="6">
    <mergeCell ref="A1:F1"/>
    <mergeCell ref="A2:F2"/>
    <mergeCell ref="A4:C4"/>
    <mergeCell ref="A10:C10"/>
    <mergeCell ref="A16:E16"/>
    <mergeCell ref="A26:F26"/>
  </mergeCells>
  <conditionalFormatting sqref="E18:E23">
    <cfRule type="cellIs" dxfId="0" priority="1" operator="lessThan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Punto de Equilibrio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