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<sst xmlns="http://schemas.openxmlformats.org/spreadsheetml/2006/main" count="129" uniqueCount="91">
  <si>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ABARROTES POR MAYOR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</si>
  <si>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</si>
  <si>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</si>
  <si>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</si>
  <si>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</si>
  <si>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</si>
  <si>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</si>
  <si>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</si>
  <si>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</si>
  <si>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</si>
  <si>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</si>
  <si>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</si>
  <si>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Arroz saco 50kg</t>
  </si>
  <si>
    <t>08:30</t>
  </si>
  <si>
    <t>B001-10001</t>
  </si>
  <si>
    <t>Yape</t>
  </si>
  <si>
    <t>Sal saco</t>
  </si>
  <si>
    <t>09:15</t>
  </si>
  <si>
    <t>B001-10002</t>
  </si>
  <si>
    <t>Plin</t>
  </si>
  <si>
    <t>Azúcar saco 50kg</t>
  </si>
  <si>
    <t>09:45</t>
  </si>
  <si>
    <t>B001-10003</t>
  </si>
  <si>
    <t>10:20</t>
  </si>
  <si>
    <t>B001-10004</t>
  </si>
  <si>
    <t>Tarjeta</t>
  </si>
  <si>
    <t>11:00</t>
  </si>
  <si>
    <t>B001-10005</t>
  </si>
  <si>
    <t>Leche caja</t>
  </si>
  <si>
    <t>11:40</t>
  </si>
  <si>
    <t>B001-10006</t>
  </si>
  <si>
    <t>Menestras saco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</si>
  <si>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</si>
  <si>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</si>
  <si>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</si>
  <si>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</si>
  <si>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</si>
  <si>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</si>
  <si>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</si>
  <si>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</si>
  <si>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</si>
  <si>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Fideos paquete x20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</si>
  <si>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</si>
  <si>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</si>
  <si>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</si>
  <si>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</si>
  <si>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</si>
  <si>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</si>
  <si>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</si>
  <si>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</si>
  <si>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Aceite caja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</si>
  <si>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</si>
  <si>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</si>
  <si>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</si>
  <si>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</si>
  <si>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</si>
  <si>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</si>
  <si>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</si>
  <si>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</si>
  <si>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</si>
  <si>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</si>
  <si>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Atún caja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</si>
  <si>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</si>
  <si>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</si>
  <si>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</si>
  <si>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</si>
  <si>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</si>
  <si>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</si>
  <si>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</si>
  <si>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</si>
  <si>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</si>
  <si>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</si>
  <si>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</si>
  <si>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</si>
  <si>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</si>
  <si>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</si>
  <si>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</si>
  <si>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</si>
  <si>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</si>
  <si>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ABARROTES POR MAYOR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</si>
  <si>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</si>
  <si>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</si>
  <si>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</si>
  <si>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</si>
  <si>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</si>
  <si>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</si>
  <si>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</si>
  <si>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</si>
  <si>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</si>
  <si>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</si>
  <si>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Abarrotes por Mayor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</si>
</sst>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42.11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28.98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14.48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20</v>
      </c>
      <c r="E8" s="7">
        <v>54.13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34.59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11.32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51.08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20</v>
      </c>
      <c r="E12" s="7">
        <v>34.38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12</v>
      </c>
      <c r="E13" s="5">
        <v>11.71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28</v>
      </c>
      <c r="E14" s="7">
        <v>49.87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46.39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31</v>
      </c>
      <c r="E16" s="7">
        <v>27.4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12</v>
      </c>
      <c r="E17" s="5">
        <v>6.96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12</v>
      </c>
      <c r="E18" s="7">
        <v>15.36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50</v>
      </c>
      <c r="E19" s="5">
        <v>36.85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20</v>
      </c>
      <c r="E20" s="7">
        <v>16.32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50</v>
      </c>
      <c r="E21" s="5">
        <v>51.46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31</v>
      </c>
      <c r="E22" s="7">
        <v>51.55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16</v>
      </c>
      <c r="E23" s="5">
        <v>46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61</v>
      </c>
      <c r="E24" s="7">
        <v>20.7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0</v>
      </c>
      <c r="C5" s="5">
        <f>200*B5</f>
      </c>
    </row>
    <row r="6" spans="1:3" x14ac:dyDescent="0.25">
      <c r="A6" s="6" t="s">
        <v>68</v>
      </c>
      <c r="B6" s="9">
        <v>2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3</v>
      </c>
      <c r="C8" s="7">
        <f>20*B8</f>
      </c>
    </row>
    <row r="9" spans="1:3" x14ac:dyDescent="0.25">
      <c r="A9" s="4" t="s">
        <v>71</v>
      </c>
      <c r="B9" s="8">
        <v>7</v>
      </c>
      <c r="C9" s="5">
        <f>10*B9</f>
      </c>
    </row>
    <row r="10" spans="1:3" x14ac:dyDescent="0.25">
      <c r="A10" s="6" t="s">
        <v>72</v>
      </c>
      <c r="B10" s="9">
        <v>8</v>
      </c>
      <c r="C10" s="7">
        <f>5*B10</f>
      </c>
    </row>
    <row r="11" spans="1:3" x14ac:dyDescent="0.25">
      <c r="A11" s="4" t="s">
        <v>73</v>
      </c>
      <c r="B11" s="8">
        <v>19</v>
      </c>
      <c r="C11" s="5">
        <f>2*B11</f>
      </c>
    </row>
    <row r="12" spans="1:3" x14ac:dyDescent="0.25">
      <c r="A12" s="6" t="s">
        <v>74</v>
      </c>
      <c r="B12" s="9">
        <v>13</v>
      </c>
      <c r="C12" s="7">
        <f>1*B12</f>
      </c>
    </row>
    <row r="13" spans="1:3" x14ac:dyDescent="0.25">
      <c r="A13" s="4" t="s">
        <v>75</v>
      </c>
      <c r="B13" s="8">
        <v>17</v>
      </c>
      <c r="C13" s="5">
        <f>0.5*B13</f>
      </c>
    </row>
    <row r="14" spans="1:3" x14ac:dyDescent="0.25">
      <c r="A14" s="6" t="s">
        <v>76</v>
      </c>
      <c r="B14" s="9">
        <v>16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{055CE9F2-4E17-4A6C-86D9-7FEB4619086C}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5CE9F2-4E17-4A6C-86D9-7FEB4619086C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