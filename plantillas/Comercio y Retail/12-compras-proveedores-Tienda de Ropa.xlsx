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<sst xmlns="http://schemas.openxmlformats.org/spreadsheetml/2006/main" count="123" uniqueCount="47">
  <si>
    <t>CONTROL DE COMPRAS — TIENDA DE ROPA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</si>
  <si>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</si>
  <si>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</si>
  <si>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</si>
  <si>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</si>
  <si>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</si>
  <si>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</si>
  <si>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</si>
  <si>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</si>
  <si>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</si>
  <si>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</si>
  <si>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</si>
  <si>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Mayorista Central E.I.R.L.</t>
  </si>
  <si>
    <t>20456789012</t>
  </si>
  <si>
    <t>Vestido</t>
  </si>
  <si>
    <t>Contado</t>
  </si>
  <si>
    <t>Distribuciones Andinas</t>
  </si>
  <si>
    <t>20612309876</t>
  </si>
  <si>
    <t>Polo básico</t>
  </si>
  <si>
    <t>Crédito 15 días</t>
  </si>
  <si>
    <t>Mayorista San Martín</t>
  </si>
  <si>
    <t>20487654321</t>
  </si>
  <si>
    <t>Short</t>
  </si>
  <si>
    <t>Crédito 30 días</t>
  </si>
  <si>
    <t>Casaca</t>
  </si>
  <si>
    <t>Importaciones del Sur S.A.</t>
  </si>
  <si>
    <t>20698765432</t>
  </si>
  <si>
    <t>Distribuidora Lima S.A.C.</t>
  </si>
  <si>
    <t>20512345678</t>
  </si>
  <si>
    <t>Ropa deportiva</t>
  </si>
  <si>
    <t>Camisa</t>
  </si>
  <si>
    <t>Jean</t>
  </si>
  <si>
    <t>Chompa</t>
  </si>
  <si>
    <t>AgroPacas S.A.C.</t>
  </si>
  <si>
    <t>20534567891</t>
  </si>
  <si>
    <t/>
  </si>
  <si>
    <t>RESUMEN DE COMPRAS — TIENDA DE ROPA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</si>
  <si>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</si>
  <si>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</si>
  <si>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</si>
  <si>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</si>
  <si>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</si>
  <si>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</si>
  <si>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</si>
  <si>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</si>
  <si>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</si>
  <si>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Tienda de Ropa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</si>
</sst>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46116</v>
      </c>
      <c r="B5" s="5" t="s">
        <v>12</v>
      </c>
      <c r="C5" s="5" t="s">
        <v>13</v>
      </c>
      <c r="D5" s="5" t="s">
        <v>14</v>
      </c>
      <c r="E5" s="6">
        <v>5</v>
      </c>
      <c r="F5" s="7">
        <v>46.24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46167</v>
      </c>
      <c r="B6" s="9" t="s">
        <v>16</v>
      </c>
      <c r="C6" s="9" t="s">
        <v>17</v>
      </c>
      <c r="D6" s="9" t="s">
        <v>18</v>
      </c>
      <c r="E6" s="10">
        <v>14</v>
      </c>
      <c r="F6" s="11">
        <v>29.53</v>
      </c>
      <c r="G6" s="11">
        <f>E6*F6</f>
      </c>
      <c r="H6" s="11">
        <f>ROUND(G6*0.18,2)</f>
      </c>
      <c r="I6" s="11">
        <f>G6+H6</f>
      </c>
      <c r="J6" s="9" t="s">
        <v>19</v>
      </c>
    </row>
    <row r="7" spans="1:10" x14ac:dyDescent="0.25">
      <c r="A7" s="4">
        <v>46134</v>
      </c>
      <c r="B7" s="5" t="s">
        <v>20</v>
      </c>
      <c r="C7" s="5" t="s">
        <v>21</v>
      </c>
      <c r="D7" s="5" t="s">
        <v>22</v>
      </c>
      <c r="E7" s="6">
        <v>19</v>
      </c>
      <c r="F7" s="7">
        <v>27.98</v>
      </c>
      <c r="G7" s="7">
        <f>E7*F7</f>
      </c>
      <c r="H7" s="7">
        <f>ROUND(G7*0.18,2)</f>
      </c>
      <c r="I7" s="7">
        <f>G7+H7</f>
      </c>
      <c r="J7" s="5" t="s">
        <v>23</v>
      </c>
    </row>
    <row r="8" spans="1:10" x14ac:dyDescent="0.25">
      <c r="A8" s="8">
        <v>46155</v>
      </c>
      <c r="B8" s="9" t="s">
        <v>12</v>
      </c>
      <c r="C8" s="9" t="s">
        <v>13</v>
      </c>
      <c r="D8" s="9" t="s">
        <v>24</v>
      </c>
      <c r="E8" s="10">
        <v>8</v>
      </c>
      <c r="F8" s="11">
        <v>68.8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46155</v>
      </c>
      <c r="B9" s="5" t="s">
        <v>25</v>
      </c>
      <c r="C9" s="5" t="s">
        <v>26</v>
      </c>
      <c r="D9" s="5" t="s">
        <v>14</v>
      </c>
      <c r="E9" s="6">
        <v>2</v>
      </c>
      <c r="F9" s="7">
        <v>79.47</v>
      </c>
      <c r="G9" s="7">
        <f>E9*F9</f>
      </c>
      <c r="H9" s="7">
        <f>ROUND(G9*0.18,2)</f>
      </c>
      <c r="I9" s="7">
        <f>G9+H9</f>
      </c>
      <c r="J9" s="5" t="s">
        <v>19</v>
      </c>
    </row>
    <row r="10" spans="1:10" x14ac:dyDescent="0.25">
      <c r="A10" s="8">
        <v>46187</v>
      </c>
      <c r="B10" s="9" t="s">
        <v>27</v>
      </c>
      <c r="C10" s="9" t="s">
        <v>28</v>
      </c>
      <c r="D10" s="9" t="s">
        <v>22</v>
      </c>
      <c r="E10" s="10">
        <v>14</v>
      </c>
      <c r="F10" s="11">
        <v>7.52</v>
      </c>
      <c r="G10" s="11">
        <f>E10*F10</f>
      </c>
      <c r="H10" s="11">
        <f>ROUND(G10*0.18,2)</f>
      </c>
      <c r="I10" s="11">
        <f>G10+H10</f>
      </c>
      <c r="J10" s="9" t="s">
        <v>23</v>
      </c>
    </row>
    <row r="11" spans="1:10" x14ac:dyDescent="0.25">
      <c r="A11" s="4">
        <v>46032</v>
      </c>
      <c r="B11" s="5" t="s">
        <v>12</v>
      </c>
      <c r="C11" s="5" t="s">
        <v>13</v>
      </c>
      <c r="D11" s="5" t="s">
        <v>29</v>
      </c>
      <c r="E11" s="6">
        <v>30</v>
      </c>
      <c r="F11" s="7">
        <v>14.47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46098</v>
      </c>
      <c r="B12" s="9" t="s">
        <v>16</v>
      </c>
      <c r="C12" s="9" t="s">
        <v>17</v>
      </c>
      <c r="D12" s="9" t="s">
        <v>30</v>
      </c>
      <c r="E12" s="10">
        <v>19</v>
      </c>
      <c r="F12" s="11">
        <v>35.36</v>
      </c>
      <c r="G12" s="11">
        <f>E12*F12</f>
      </c>
      <c r="H12" s="11">
        <f>ROUND(G12*0.18,2)</f>
      </c>
      <c r="I12" s="11">
        <f>G12+H12</f>
      </c>
      <c r="J12" s="9" t="s">
        <v>19</v>
      </c>
    </row>
    <row r="13" spans="1:10" x14ac:dyDescent="0.25">
      <c r="A13" s="4">
        <v>46188</v>
      </c>
      <c r="B13" s="5" t="s">
        <v>20</v>
      </c>
      <c r="C13" s="5" t="s">
        <v>21</v>
      </c>
      <c r="D13" s="5" t="s">
        <v>31</v>
      </c>
      <c r="E13" s="6">
        <v>8</v>
      </c>
      <c r="F13" s="7">
        <v>49.24</v>
      </c>
      <c r="G13" s="7">
        <f>E13*F13</f>
      </c>
      <c r="H13" s="7">
        <f>ROUND(G13*0.18,2)</f>
      </c>
      <c r="I13" s="7">
        <f>G13+H13</f>
      </c>
      <c r="J13" s="5" t="s">
        <v>23</v>
      </c>
    </row>
    <row r="14" spans="1:10" x14ac:dyDescent="0.25">
      <c r="A14" s="8">
        <v>46041</v>
      </c>
      <c r="B14" s="9" t="s">
        <v>25</v>
      </c>
      <c r="C14" s="9" t="s">
        <v>26</v>
      </c>
      <c r="D14" s="9" t="s">
        <v>18</v>
      </c>
      <c r="E14" s="10">
        <v>4</v>
      </c>
      <c r="F14" s="11">
        <v>42.85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46230</v>
      </c>
      <c r="B15" s="5" t="s">
        <v>27</v>
      </c>
      <c r="C15" s="5" t="s">
        <v>28</v>
      </c>
      <c r="D15" s="5" t="s">
        <v>32</v>
      </c>
      <c r="E15" s="6">
        <v>26</v>
      </c>
      <c r="F15" s="7">
        <v>41.79</v>
      </c>
      <c r="G15" s="7">
        <f>E15*F15</f>
      </c>
      <c r="H15" s="7">
        <f>ROUND(G15*0.18,2)</f>
      </c>
      <c r="I15" s="7">
        <f>G15+H15</f>
      </c>
      <c r="J15" s="5" t="s">
        <v>19</v>
      </c>
    </row>
    <row r="16" spans="1:10" x14ac:dyDescent="0.25">
      <c r="A16" s="8">
        <v>46057</v>
      </c>
      <c r="B16" s="9" t="s">
        <v>16</v>
      </c>
      <c r="C16" s="9" t="s">
        <v>17</v>
      </c>
      <c r="D16" s="9" t="s">
        <v>22</v>
      </c>
      <c r="E16" s="10">
        <v>29</v>
      </c>
      <c r="F16" s="11">
        <v>43.92</v>
      </c>
      <c r="G16" s="11">
        <f>E16*F16</f>
      </c>
      <c r="H16" s="11">
        <f>ROUND(G16*0.18,2)</f>
      </c>
      <c r="I16" s="11">
        <f>G16+H16</f>
      </c>
      <c r="J16" s="9" t="s">
        <v>23</v>
      </c>
    </row>
    <row r="17" spans="1:10" x14ac:dyDescent="0.25">
      <c r="A17" s="4">
        <v>46055</v>
      </c>
      <c r="B17" s="5" t="s">
        <v>27</v>
      </c>
      <c r="C17" s="5" t="s">
        <v>28</v>
      </c>
      <c r="D17" s="5" t="s">
        <v>29</v>
      </c>
      <c r="E17" s="6">
        <v>14</v>
      </c>
      <c r="F17" s="7">
        <v>56.23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46190</v>
      </c>
      <c r="B18" s="9" t="s">
        <v>20</v>
      </c>
      <c r="C18" s="9" t="s">
        <v>21</v>
      </c>
      <c r="D18" s="9" t="s">
        <v>18</v>
      </c>
      <c r="E18" s="10">
        <v>26</v>
      </c>
      <c r="F18" s="11">
        <v>39.33</v>
      </c>
      <c r="G18" s="11">
        <f>E18*F18</f>
      </c>
      <c r="H18" s="11">
        <f>ROUND(G18*0.18,2)</f>
      </c>
      <c r="I18" s="11">
        <f>G18+H18</f>
      </c>
      <c r="J18" s="9" t="s">
        <v>19</v>
      </c>
    </row>
    <row r="19" spans="1:10" x14ac:dyDescent="0.25">
      <c r="A19" s="4">
        <v>46155</v>
      </c>
      <c r="B19" s="5" t="s">
        <v>33</v>
      </c>
      <c r="C19" s="5" t="s">
        <v>34</v>
      </c>
      <c r="D19" s="5" t="s">
        <v>22</v>
      </c>
      <c r="E19" s="6">
        <v>29</v>
      </c>
      <c r="F19" s="7">
        <v>25.18</v>
      </c>
      <c r="G19" s="7">
        <f>E19*F19</f>
      </c>
      <c r="H19" s="7">
        <f>ROUND(G19*0.18,2)</f>
      </c>
      <c r="I19" s="7">
        <f>G19+H19</f>
      </c>
      <c r="J19" s="5" t="s">
        <v>23</v>
      </c>
    </row>
    <row r="20" spans="1:10" x14ac:dyDescent="0.25">
      <c r="A20" s="8">
        <v>46208</v>
      </c>
      <c r="B20" s="9" t="s">
        <v>16</v>
      </c>
      <c r="C20" s="9" t="s">
        <v>17</v>
      </c>
      <c r="D20" s="9" t="s">
        <v>22</v>
      </c>
      <c r="E20" s="10">
        <v>10</v>
      </c>
      <c r="F20" s="11">
        <v>5.21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46087</v>
      </c>
      <c r="B21" s="5" t="s">
        <v>20</v>
      </c>
      <c r="C21" s="5" t="s">
        <v>21</v>
      </c>
      <c r="D21" s="5" t="s">
        <v>22</v>
      </c>
      <c r="E21" s="6">
        <v>18</v>
      </c>
      <c r="F21" s="7">
        <v>11.64</v>
      </c>
      <c r="G21" s="7">
        <f>E21*F21</f>
      </c>
      <c r="H21" s="7">
        <f>ROUND(G21*0.18,2)</f>
      </c>
      <c r="I21" s="7">
        <f>G21+H21</f>
      </c>
      <c r="J21" s="5" t="s">
        <v>19</v>
      </c>
    </row>
    <row r="22" spans="1:10" x14ac:dyDescent="0.25">
      <c r="A22" s="8">
        <v>46177</v>
      </c>
      <c r="B22" s="9" t="s">
        <v>27</v>
      </c>
      <c r="C22" s="9" t="s">
        <v>28</v>
      </c>
      <c r="D22" s="9" t="s">
        <v>18</v>
      </c>
      <c r="E22" s="10">
        <v>16</v>
      </c>
      <c r="F22" s="11">
        <v>59.2</v>
      </c>
      <c r="G22" s="11">
        <f>E22*F22</f>
      </c>
      <c r="H22" s="11">
        <f>ROUND(G22*0.18,2)</f>
      </c>
      <c r="I22" s="11">
        <f>G22+H22</f>
      </c>
      <c r="J22" s="9" t="s">
        <v>23</v>
      </c>
    </row>
    <row r="23" spans="1:10" x14ac:dyDescent="0.25">
      <c r="A23" s="4">
        <v>46129</v>
      </c>
      <c r="B23" s="5" t="s">
        <v>16</v>
      </c>
      <c r="C23" s="5" t="s">
        <v>17</v>
      </c>
      <c r="D23" s="5" t="s">
        <v>18</v>
      </c>
      <c r="E23" s="6">
        <v>21</v>
      </c>
      <c r="F23" s="7">
        <v>57.86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46091</v>
      </c>
      <c r="B24" s="9" t="s">
        <v>33</v>
      </c>
      <c r="C24" s="9" t="s">
        <v>34</v>
      </c>
      <c r="D24" s="9" t="s">
        <v>31</v>
      </c>
      <c r="E24" s="10">
        <v>25</v>
      </c>
      <c r="F24" s="11">
        <v>53.84</v>
      </c>
      <c r="G24" s="11">
        <f>E24*F24</f>
      </c>
      <c r="H24" s="11">
        <f>ROUND(G24*0.18,2)</f>
      </c>
      <c r="I24" s="11">
        <f>G24+H24</f>
      </c>
      <c r="J24" s="9" t="s">
        <v>19</v>
      </c>
    </row>
    <row r="25" spans="1:9" x14ac:dyDescent="0.25">
      <c r="A25" s="12" t="s">
        <v>35</v>
      </c>
      <c r="B25" s="12" t="s">
        <v>35</v>
      </c>
      <c r="C25" s="12" t="s">
        <v>35</v>
      </c>
      <c r="D25" s="12" t="s">
        <v>35</v>
      </c>
      <c r="E25" s="12" t="s">
        <v>35</v>
      </c>
      <c r="F25" s="12" t="s">
        <v>35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36</v>
      </c>
      <c r="B1" s="1"/>
      <c r="C1" s="1"/>
      <c r="D1" s="1"/>
      <c r="E1" s="1"/>
      <c r="F1" s="1"/>
    </row>
    <row r="2" ht="18" customHeight="1" spans="1:6" x14ac:dyDescent="0.25">
      <c r="A2" s="2" t="s">
        <v>37</v>
      </c>
      <c r="B2" s="2"/>
      <c r="C2" s="2"/>
      <c r="D2" s="2"/>
      <c r="E2" s="2"/>
      <c r="F2" s="2"/>
    </row>
    <row r="4" spans="1:6" x14ac:dyDescent="0.25">
      <c r="A4" s="14" t="s">
        <v>38</v>
      </c>
      <c r="B4" s="14"/>
      <c r="C4" s="14"/>
      <c r="D4" s="15" t="s">
        <v>39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35</v>
      </c>
      <c r="B6" s="18"/>
      <c r="C6" s="18"/>
      <c r="D6" s="18" t="s">
        <v>35</v>
      </c>
      <c r="E6" s="18"/>
      <c r="F6" s="18"/>
    </row>
    <row r="8" spans="1:1" x14ac:dyDescent="0.25">
      <c r="A8" s="19" t="s">
        <v>40</v>
      </c>
    </row>
    <row r="9" ht="22" customHeight="1" spans="1:3" x14ac:dyDescent="0.25">
      <c r="A9" s="3" t="s">
        <v>3</v>
      </c>
      <c r="B9" s="3" t="s">
        <v>41</v>
      </c>
      <c r="C9" s="3" t="s">
        <v>42</v>
      </c>
    </row>
    <row r="10" spans="1:3" x14ac:dyDescent="0.25">
      <c r="A10" s="5" t="s">
        <v>27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12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25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33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20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16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43</v>
      </c>
    </row>
    <row r="19" ht="22" customHeight="1" spans="1:3" x14ac:dyDescent="0.25">
      <c r="A19" s="3" t="s">
        <v>11</v>
      </c>
      <c r="B19" s="3" t="s">
        <v>41</v>
      </c>
      <c r="C19" s="3" t="s">
        <v>44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19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23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45</v>
      </c>
    </row>
    <row r="26" spans="1:6" x14ac:dyDescent="0.25">
      <c r="A26" s="23" t="s">
        <v>46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{1D341A7E-51A3-4019-8AB3-FAC995459C81}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{04DC842E-77EE-419C-BB75-7067920A0E62}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341A7E-51A3-4019-8AB3-FAC995459C81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04DC842E-77EE-419C-BB75-7067920A0E62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