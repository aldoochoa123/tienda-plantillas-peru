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<sst xmlns="http://schemas.openxmlformats.org/spreadsheetml/2006/main" count="129" uniqueCount="91">
  <si>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ÓPTICA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</si>
  <si>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</si>
  <si>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</si>
  <si>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</si>
  <si>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</si>
  <si>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</si>
  <si>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</si>
  <si>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</si>
  <si>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</si>
  <si>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</si>
  <si>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</si>
  <si>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</si>
  <si>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Lentes antiluz azul</t>
  </si>
  <si>
    <t>08:30</t>
  </si>
  <si>
    <t>B001-10001</t>
  </si>
  <si>
    <t>Yape</t>
  </si>
  <si>
    <t>Lentes de contacto</t>
  </si>
  <si>
    <t>09:15</t>
  </si>
  <si>
    <t>B001-10002</t>
  </si>
  <si>
    <t>Plin</t>
  </si>
  <si>
    <t>Lentes oftálmicos</t>
  </si>
  <si>
    <t>09:45</t>
  </si>
  <si>
    <t>B001-10003</t>
  </si>
  <si>
    <t>Lentes de sol</t>
  </si>
  <si>
    <t>10:20</t>
  </si>
  <si>
    <t>B001-10004</t>
  </si>
  <si>
    <t>Tarjeta</t>
  </si>
  <si>
    <t>Estuche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</si>
  <si>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</si>
  <si>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</si>
  <si>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</si>
  <si>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</si>
  <si>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</si>
  <si>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</si>
  <si>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</si>
  <si>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</si>
  <si>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</si>
  <si>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</si>
  <si>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</si>
  <si>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Control visual</t>
  </si>
  <si>
    <t>14:10</t>
  </si>
  <si>
    <t>B001-10010</t>
  </si>
  <si>
    <t>Repuesto de micas</t>
  </si>
  <si>
    <t>15:00</t>
  </si>
  <si>
    <t>B001-10011</t>
  </si>
  <si>
    <t>Solución multipropósito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</si>
  <si>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</si>
  <si>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</si>
  <si>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</si>
  <si>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</si>
  <si>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</si>
  <si>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</si>
  <si>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</si>
  <si>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</si>
  <si>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</si>
  <si>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</si>
  <si>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</si>
  <si>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</si>
  <si>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</si>
  <si>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</si>
  <si>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</si>
  <si>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</si>
  <si>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</si>
  <si>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</si>
  <si>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</si>
  <si>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</si>
  <si>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</si>
  <si>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</si>
  <si>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</si>
  <si>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</si>
  <si>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</si>
  <si>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</si>
  <si>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</si>
  <si>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</si>
  <si>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</si>
  <si>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</si>
  <si>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</si>
  <si>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</si>
  <si>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</si>
  <si>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ÓPTICA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</si>
  <si>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</si>
  <si>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</si>
  <si>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</si>
  <si>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</si>
  <si>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</si>
  <si>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</si>
  <si>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</si>
  <si>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</si>
  <si>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</si>
  <si>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</si>
  <si>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Óptica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</si>
</sst>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16.97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19.71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31.36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30.66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40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16</v>
      </c>
      <c r="E10" s="7">
        <v>10.11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23</v>
      </c>
      <c r="E11" s="5">
        <v>9.97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23</v>
      </c>
      <c r="E12" s="7">
        <v>24.93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23</v>
      </c>
      <c r="E13" s="5">
        <v>40.53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17.14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38.38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45</v>
      </c>
      <c r="E16" s="7">
        <v>45.71</v>
      </c>
      <c r="F16" s="7">
        <f>ROUND(E16/1.18*0.18,2)</f>
      </c>
      <c r="G16" s="7">
        <f>E16</f>
      </c>
    </row>
    <row r="17" spans="1:7" x14ac:dyDescent="0.25">
      <c r="A17" s="4" t="s">
        <v>46</v>
      </c>
      <c r="B17" s="4" t="s">
        <v>47</v>
      </c>
      <c r="C17" s="4" t="s">
        <v>19</v>
      </c>
      <c r="D17" s="4" t="s">
        <v>16</v>
      </c>
      <c r="E17" s="5">
        <v>11.97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12</v>
      </c>
      <c r="E18" s="7">
        <v>39.46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27</v>
      </c>
      <c r="E19" s="5">
        <v>10.63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12</v>
      </c>
      <c r="E20" s="7">
        <v>41.25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16</v>
      </c>
      <c r="E21" s="5">
        <v>56.83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20</v>
      </c>
      <c r="E22" s="7">
        <v>44.52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12</v>
      </c>
      <c r="E23" s="5">
        <v>45.59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16</v>
      </c>
      <c r="E24" s="7">
        <v>5.9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1</v>
      </c>
      <c r="C6" s="7">
        <f>100*B6</f>
      </c>
    </row>
    <row r="7" spans="1:3" x14ac:dyDescent="0.25">
      <c r="A7" s="4" t="s">
        <v>69</v>
      </c>
      <c r="B7" s="8">
        <v>1</v>
      </c>
      <c r="C7" s="5">
        <f>50*B7</f>
      </c>
    </row>
    <row r="8" spans="1:3" x14ac:dyDescent="0.25">
      <c r="A8" s="6" t="s">
        <v>70</v>
      </c>
      <c r="B8" s="9">
        <v>2</v>
      </c>
      <c r="C8" s="7">
        <f>20*B8</f>
      </c>
    </row>
    <row r="9" spans="1:3" x14ac:dyDescent="0.25">
      <c r="A9" s="4" t="s">
        <v>71</v>
      </c>
      <c r="B9" s="8">
        <v>10</v>
      </c>
      <c r="C9" s="5">
        <f>10*B9</f>
      </c>
    </row>
    <row r="10" spans="1:3" x14ac:dyDescent="0.25">
      <c r="A10" s="6" t="s">
        <v>72</v>
      </c>
      <c r="B10" s="9">
        <v>1</v>
      </c>
      <c r="C10" s="7">
        <f>5*B10</f>
      </c>
    </row>
    <row r="11" spans="1:3" x14ac:dyDescent="0.25">
      <c r="A11" s="4" t="s">
        <v>73</v>
      </c>
      <c r="B11" s="8">
        <v>17</v>
      </c>
      <c r="C11" s="5">
        <f>2*B11</f>
      </c>
    </row>
    <row r="12" spans="1:3" x14ac:dyDescent="0.25">
      <c r="A12" s="6" t="s">
        <v>74</v>
      </c>
      <c r="B12" s="9">
        <v>15</v>
      </c>
      <c r="C12" s="7">
        <f>1*B12</f>
      </c>
    </row>
    <row r="13" spans="1:3" x14ac:dyDescent="0.25">
      <c r="A13" s="4" t="s">
        <v>75</v>
      </c>
      <c r="B13" s="8">
        <v>16</v>
      </c>
      <c r="C13" s="5">
        <f>0.5*B13</f>
      </c>
    </row>
    <row r="14" spans="1:3" x14ac:dyDescent="0.25">
      <c r="A14" s="6" t="s">
        <v>76</v>
      </c>
      <c r="B14" s="9">
        <v>16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{8269FC8F-E8E8-427B-9FC8-AC62A44A9A2A}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69FC8F-E8E8-427B-9FC8-AC62A44A9A2A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