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ibutario" state="visible" r:id="rId4"/>
  </sheets>
  <calcPr calcId="171027"/>
</workbook>
</file>

<file path=xl/sharedStrings.xml><?xml version="1.0" encoding="utf-8"?>
<sst xmlns="http://schemas.openxmlformats.org/spreadsheetml/2006/main" count="29" uniqueCount="29">
  <si>
    <t>CONTROL TRIBUTARIO — ZAPATERÍA</t>
  </si>
  <si>
    <t>IGV Mensual, PDT 621 y Renta Anual</t>
  </si>
  <si>
    <t>DECLARACIÓN MENSUAL DE IGV</t>
  </si>
  <si>
    <t>Mes</t>
  </si>
  <si>
    <t>Ventas Gravadas</t>
  </si>
  <si>
    <t>IGV Ventas</t>
  </si>
  <si>
    <t>Compras Gravadas</t>
  </si>
  <si>
    <t>IGV Compras</t>
  </si>
  <si>
    <t>IGV a Pagar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</si>
  <si>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</si>
  <si>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</si>
  <si>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</si>
  <si>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</si>
  <si>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</si>
  <si>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</si>
  <si>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</si>
  <si>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</si>
  <si>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</si>
  <si>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</si>
  <si>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</si>
  <si>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</si>
  <si>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TOTAL AÑO</t>
  </si>
  <si>
    <t>PDT 621 - RESUMEN ANUAL</t>
  </si>
  <si>
    <t>Ingresos Brutos Anuales</t>
  </si>
  <si>
    <t>Renta Neta Imponible</t>
  </si>
  <si>
    <t>Impuesto Anual (29%)</t>
  </si>
  <si>
    <t>Pagos a Cuenta (cuotas)</t>
  </si>
  <si>
    <t>Saldo a Pagar / Devolver</t>
  </si>
  <si>
    <t>Zapatería · Control Tributario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</si>
</sst>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8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3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2563EB"/>
      </patternFill>
    </fill>
    <fill>
      <patternFill patternType="solid">
        <fgColor rgb="FFE7F6EC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left" vertical="center"/>
    </xf>
    <xf numFmtId="164" fontId="4" fillId="2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6" fillId="6" borderId="1" xfId="0" applyFont="1" applyFill="1" applyBorder="1" applyAlignment="1">
      <alignment horizontal="left" vertical="center"/>
    </xf>
    <xf numFmtId="164" fontId="6" fillId="6" borderId="1" xfId="0" applyNumberFormat="1" applyFont="1" applyFill="1" applyBorder="1" applyAlignment="1">
      <alignment horizontal="right" vertical="center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"/>
  <sheetViews>
    <sheetView workbookViewId="0" showGridLines="0"/>
  </sheetViews>
  <sheetFormatPr defaultRowHeight="15" outlineLevelRow="0" outlineLevelCol="0" x14ac:dyDescent="55"/>
  <cols>
    <col min="1" max="1" width="28" customWidth="1"/>
    <col min="2" max="6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6" x14ac:dyDescent="0.25">
      <c r="A4" s="3" t="s">
        <v>2</v>
      </c>
      <c r="B4" s="3"/>
      <c r="C4" s="3"/>
      <c r="D4" s="3"/>
      <c r="E4" s="3"/>
      <c r="F4" s="3"/>
    </row>
    <row r="5" ht="22" customHeight="1" spans="1:6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</row>
    <row r="6" spans="1:6" x14ac:dyDescent="0.25">
      <c r="A6" s="5" t="s">
        <v>9</v>
      </c>
      <c r="B6" s="6">
        <v>48860.61</v>
      </c>
      <c r="C6" s="6">
        <v>8794.91</v>
      </c>
      <c r="D6" s="6">
        <v>32366.57</v>
      </c>
      <c r="E6" s="6">
        <v>5825.98</v>
      </c>
      <c r="F6" s="6">
        <f>C6-E6</f>
      </c>
    </row>
    <row r="7" spans="1:6" x14ac:dyDescent="0.25">
      <c r="A7" s="7" t="s">
        <v>10</v>
      </c>
      <c r="B7" s="8">
        <v>35887.41</v>
      </c>
      <c r="C7" s="8">
        <v>6459.73</v>
      </c>
      <c r="D7" s="8">
        <v>20875.58</v>
      </c>
      <c r="E7" s="8">
        <v>3757.6</v>
      </c>
      <c r="F7" s="8">
        <f>C7-E7</f>
      </c>
    </row>
    <row r="8" spans="1:6" x14ac:dyDescent="0.25">
      <c r="A8" s="5" t="s">
        <v>11</v>
      </c>
      <c r="B8" s="6">
        <v>44512.28</v>
      </c>
      <c r="C8" s="6">
        <v>8012.21</v>
      </c>
      <c r="D8" s="6">
        <v>28116.89</v>
      </c>
      <c r="E8" s="6">
        <v>5061.04</v>
      </c>
      <c r="F8" s="6">
        <f>C8-E8</f>
      </c>
    </row>
    <row r="9" spans="1:6" x14ac:dyDescent="0.25">
      <c r="A9" s="7" t="s">
        <v>12</v>
      </c>
      <c r="B9" s="8">
        <v>54049.54</v>
      </c>
      <c r="C9" s="8">
        <v>9728.92</v>
      </c>
      <c r="D9" s="8">
        <v>26356.21</v>
      </c>
      <c r="E9" s="8">
        <v>4744.12</v>
      </c>
      <c r="F9" s="8">
        <f>C9-E9</f>
      </c>
    </row>
    <row r="10" spans="1:6" x14ac:dyDescent="0.25">
      <c r="A10" s="5" t="s">
        <v>13</v>
      </c>
      <c r="B10" s="6">
        <v>27371.09</v>
      </c>
      <c r="C10" s="6">
        <v>4926.8</v>
      </c>
      <c r="D10" s="6">
        <v>12038.65</v>
      </c>
      <c r="E10" s="6">
        <v>2166.96</v>
      </c>
      <c r="F10" s="6">
        <f>C10-E10</f>
      </c>
    </row>
    <row r="11" spans="1:6" x14ac:dyDescent="0.25">
      <c r="A11" s="7" t="s">
        <v>14</v>
      </c>
      <c r="B11" s="8">
        <v>57705.57</v>
      </c>
      <c r="C11" s="8">
        <v>10387</v>
      </c>
      <c r="D11" s="8">
        <v>33249.41</v>
      </c>
      <c r="E11" s="8">
        <v>5984.89</v>
      </c>
      <c r="F11" s="8">
        <f>C11-E11</f>
      </c>
    </row>
    <row r="12" spans="1:6" x14ac:dyDescent="0.25">
      <c r="A12" s="5" t="s">
        <v>15</v>
      </c>
      <c r="B12" s="6">
        <v>47772.79</v>
      </c>
      <c r="C12" s="6">
        <v>8599.1</v>
      </c>
      <c r="D12" s="6">
        <v>27524.91</v>
      </c>
      <c r="E12" s="6">
        <v>4954.48</v>
      </c>
      <c r="F12" s="6">
        <f>C12-E12</f>
      </c>
    </row>
    <row r="13" spans="1:6" x14ac:dyDescent="0.25">
      <c r="A13" s="7" t="s">
        <v>16</v>
      </c>
      <c r="B13" s="8">
        <v>32000.7</v>
      </c>
      <c r="C13" s="8">
        <v>5760.13</v>
      </c>
      <c r="D13" s="8">
        <v>14359.16</v>
      </c>
      <c r="E13" s="8">
        <v>2584.65</v>
      </c>
      <c r="F13" s="8">
        <f>C13-E13</f>
      </c>
    </row>
    <row r="14" spans="1:6" x14ac:dyDescent="0.25">
      <c r="A14" s="5" t="s">
        <v>17</v>
      </c>
      <c r="B14" s="6">
        <v>32463.63</v>
      </c>
      <c r="C14" s="6">
        <v>5843.45</v>
      </c>
      <c r="D14" s="6">
        <v>19040.63</v>
      </c>
      <c r="E14" s="6">
        <v>3427.31</v>
      </c>
      <c r="F14" s="6">
        <f>C14-E14</f>
      </c>
    </row>
    <row r="15" spans="1:6" x14ac:dyDescent="0.25">
      <c r="A15" s="7" t="s">
        <v>18</v>
      </c>
      <c r="B15" s="8">
        <v>25129.09</v>
      </c>
      <c r="C15" s="8">
        <v>4523.24</v>
      </c>
      <c r="D15" s="8">
        <v>10333.18</v>
      </c>
      <c r="E15" s="8">
        <v>1859.97</v>
      </c>
      <c r="F15" s="8">
        <f>C15-E15</f>
      </c>
    </row>
    <row r="16" spans="1:6" x14ac:dyDescent="0.25">
      <c r="A16" s="5" t="s">
        <v>19</v>
      </c>
      <c r="B16" s="6">
        <v>50923.53</v>
      </c>
      <c r="C16" s="6">
        <v>9166.24</v>
      </c>
      <c r="D16" s="6">
        <v>35425.23</v>
      </c>
      <c r="E16" s="6">
        <v>6376.54</v>
      </c>
      <c r="F16" s="6">
        <f>C16-E16</f>
      </c>
    </row>
    <row r="17" spans="1:6" x14ac:dyDescent="0.25">
      <c r="A17" s="7" t="s">
        <v>20</v>
      </c>
      <c r="B17" s="8">
        <v>57494.46</v>
      </c>
      <c r="C17" s="8">
        <v>10349</v>
      </c>
      <c r="D17" s="8">
        <v>30347.32</v>
      </c>
      <c r="E17" s="8">
        <v>5462.52</v>
      </c>
      <c r="F17" s="8">
        <f>C17-E17</f>
      </c>
    </row>
    <row r="18" spans="1:6" x14ac:dyDescent="0.25">
      <c r="A18" s="9" t="s">
        <v>21</v>
      </c>
      <c r="B18" s="10">
        <f>SUM(B6:B17)</f>
      </c>
      <c r="C18" s="10">
        <f>SUM(C6:C17)</f>
      </c>
      <c r="D18" s="10">
        <f>SUM(D6:D17)</f>
      </c>
      <c r="E18" s="10">
        <f>SUM(E6:E17)</f>
      </c>
      <c r="F18" s="10">
        <f>SUM(F6:F17)</f>
      </c>
    </row>
    <row r="20" spans="1:6" x14ac:dyDescent="0.25">
      <c r="A20" s="11" t="s">
        <v>22</v>
      </c>
      <c r="B20" s="11"/>
      <c r="C20" s="11"/>
      <c r="D20" s="11"/>
      <c r="E20" s="11"/>
      <c r="F20" s="11"/>
    </row>
    <row r="21" spans="1:2" x14ac:dyDescent="0.25">
      <c r="A21" s="5" t="s">
        <v>23</v>
      </c>
      <c r="B21" s="6">
        <f>SUM(B6:B17)</f>
      </c>
    </row>
    <row r="22" spans="1:2" x14ac:dyDescent="0.25">
      <c r="A22" s="5" t="s">
        <v>24</v>
      </c>
      <c r="B22" s="6">
        <f>SUM(B6:B17)*0.15</f>
      </c>
    </row>
    <row r="23" spans="1:2" x14ac:dyDescent="0.25">
      <c r="A23" s="5" t="s">
        <v>25</v>
      </c>
      <c r="B23" s="6">
        <f>B22*0.29</f>
      </c>
    </row>
    <row r="24" spans="1:2" x14ac:dyDescent="0.25">
      <c r="A24" s="5" t="s">
        <v>26</v>
      </c>
      <c r="B24" s="6">
        <f>B23*7/12</f>
      </c>
    </row>
    <row r="25" spans="1:2" x14ac:dyDescent="0.25">
      <c r="A25" s="12" t="s">
        <v>27</v>
      </c>
      <c r="B25" s="13">
        <f>B23-B24</f>
      </c>
    </row>
    <row r="27" spans="1:6" x14ac:dyDescent="0.25">
      <c r="A27" s="14" t="s">
        <v>28</v>
      </c>
      <c r="B27" s="14"/>
      <c r="C27" s="14"/>
      <c r="D27" s="14"/>
      <c r="E27" s="14"/>
      <c r="F27" s="14"/>
    </row>
  </sheetData>
  <mergeCells count="5">
    <mergeCell ref="A1:G1"/>
    <mergeCell ref="A2:G2"/>
    <mergeCell ref="A4:F4"/>
    <mergeCell ref="A20:F20"/>
    <mergeCell ref="A27:F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Tributario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2026-08-23T16:46:25Z</dcterms:created>
  <dcterms:modified xsi:type="dcterms:W3CDTF">2026-08-23T16:46:25Z</dcterms:modified>
</cp:coreProperties>
</file>