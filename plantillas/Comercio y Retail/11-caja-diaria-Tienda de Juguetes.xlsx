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<sst xmlns="http://schemas.openxmlformats.org/spreadsheetml/2006/main" count="129" uniqueCount="91">
  <si>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TIENDA DE JUGUETES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</si>
  <si>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</si>
  <si>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</si>
  <si>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</si>
  <si>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</si>
  <si>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</si>
  <si>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</si>
  <si>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</si>
  <si>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</si>
  <si>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</si>
  <si>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</si>
  <si>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</si>
  <si>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Muñecas</t>
  </si>
  <si>
    <t>08:30</t>
  </si>
  <si>
    <t>B001-10001</t>
  </si>
  <si>
    <t>Yape</t>
  </si>
  <si>
    <t>Juegos educativos</t>
  </si>
  <si>
    <t>09:15</t>
  </si>
  <si>
    <t>B001-10002</t>
  </si>
  <si>
    <t>Plin</t>
  </si>
  <si>
    <t>Bloques</t>
  </si>
  <si>
    <t>09:45</t>
  </si>
  <si>
    <t>B001-10003</t>
  </si>
  <si>
    <t>Puzzles</t>
  </si>
  <si>
    <t>10:20</t>
  </si>
  <si>
    <t>B001-10004</t>
  </si>
  <si>
    <t>Tarjeta</t>
  </si>
  <si>
    <t>11:00</t>
  </si>
  <si>
    <t>B001-10005</t>
  </si>
  <si>
    <t>Peluches</t>
  </si>
  <si>
    <t>11:40</t>
  </si>
  <si>
    <t>B001-10006</t>
  </si>
  <si>
    <t>Bicicletas</t>
  </si>
  <si>
    <t>12:15</t>
  </si>
  <si>
    <t>B001-10007</t>
  </si>
  <si>
    <t>Juegos de mesa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</si>
  <si>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</si>
  <si>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</si>
  <si>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</si>
  <si>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</si>
  <si>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</si>
  <si>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</si>
  <si>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</si>
  <si>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</si>
  <si>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</si>
  <si>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</si>
  <si>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</si>
  <si>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Autos a control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</si>
  <si>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</si>
  <si>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</si>
  <si>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</si>
  <si>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</si>
  <si>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</si>
  <si>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</si>
  <si>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</si>
  <si>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</si>
  <si>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</si>
  <si>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</si>
  <si>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</si>
  <si>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</si>
  <si>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</si>
  <si>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</si>
  <si>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</si>
  <si>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</si>
  <si>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</si>
  <si>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</si>
  <si>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</si>
  <si>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</si>
  <si>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</si>
  <si>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</si>
  <si>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</si>
  <si>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</si>
  <si>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</si>
  <si>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</si>
  <si>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</si>
  <si>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</si>
  <si>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</si>
  <si>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</si>
  <si>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</si>
  <si>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TIENDA DE JUGUETES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</si>
  <si>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</si>
  <si>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</si>
  <si>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</si>
  <si>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</si>
  <si>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</si>
  <si>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</si>
  <si>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</si>
  <si>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</si>
  <si>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</si>
  <si>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</si>
  <si>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Tienda de Juguetes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</si>
</sst>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33.98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21.17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34.85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27.2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16</v>
      </c>
      <c r="E9" s="5">
        <v>11.92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25.16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45.58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35</v>
      </c>
      <c r="E12" s="7">
        <v>57.37</v>
      </c>
      <c r="F12" s="7">
        <f>ROUND(E12/1.18*0.18,2)</f>
      </c>
      <c r="G12" s="7">
        <f>E12</f>
      </c>
    </row>
    <row r="13" spans="1:7" x14ac:dyDescent="0.25">
      <c r="A13" s="4" t="s">
        <v>36</v>
      </c>
      <c r="B13" s="4" t="s">
        <v>37</v>
      </c>
      <c r="C13" s="4" t="s">
        <v>38</v>
      </c>
      <c r="D13" s="4" t="s">
        <v>23</v>
      </c>
      <c r="E13" s="5">
        <v>8.94</v>
      </c>
      <c r="F13" s="5">
        <f>ROUND(E13/1.18*0.18,2)</f>
      </c>
      <c r="G13" s="5">
        <f>E13</f>
      </c>
    </row>
    <row r="14" spans="1:7" x14ac:dyDescent="0.25">
      <c r="A14" s="6" t="s">
        <v>39</v>
      </c>
      <c r="B14" s="6" t="s">
        <v>40</v>
      </c>
      <c r="C14" s="6" t="s">
        <v>15</v>
      </c>
      <c r="D14" s="6" t="s">
        <v>23</v>
      </c>
      <c r="E14" s="7">
        <v>5.21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35</v>
      </c>
      <c r="E15" s="5">
        <v>28.28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29</v>
      </c>
      <c r="E16" s="7">
        <v>46.25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47</v>
      </c>
      <c r="E17" s="5">
        <v>56.31</v>
      </c>
      <c r="F17" s="5">
        <f>ROUND(E17/1.18*0.18,2)</f>
      </c>
      <c r="G17" s="5">
        <f>E17</f>
      </c>
    </row>
    <row r="18" spans="1:7" x14ac:dyDescent="0.25">
      <c r="A18" s="6" t="s">
        <v>48</v>
      </c>
      <c r="B18" s="6" t="s">
        <v>49</v>
      </c>
      <c r="C18" s="6" t="s">
        <v>11</v>
      </c>
      <c r="D18" s="6" t="s">
        <v>23</v>
      </c>
      <c r="E18" s="7">
        <v>4.2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26</v>
      </c>
      <c r="D19" s="4" t="s">
        <v>29</v>
      </c>
      <c r="E19" s="5">
        <v>53.04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12</v>
      </c>
      <c r="E20" s="7">
        <v>38.41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32</v>
      </c>
      <c r="E21" s="5">
        <v>41.21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16</v>
      </c>
      <c r="E22" s="7">
        <v>43.67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38</v>
      </c>
      <c r="D23" s="4" t="s">
        <v>23</v>
      </c>
      <c r="E23" s="5">
        <v>25.41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35</v>
      </c>
      <c r="E24" s="7">
        <v>33.5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0</v>
      </c>
      <c r="C6" s="7">
        <f>100*B6</f>
      </c>
    </row>
    <row r="7" spans="1:3" x14ac:dyDescent="0.25">
      <c r="A7" s="4" t="s">
        <v>69</v>
      </c>
      <c r="B7" s="8">
        <v>2</v>
      </c>
      <c r="C7" s="5">
        <f>50*B7</f>
      </c>
    </row>
    <row r="8" spans="1:3" x14ac:dyDescent="0.25">
      <c r="A8" s="6" t="s">
        <v>70</v>
      </c>
      <c r="B8" s="9">
        <v>18</v>
      </c>
      <c r="C8" s="7">
        <f>20*B8</f>
      </c>
    </row>
    <row r="9" spans="1:3" x14ac:dyDescent="0.25">
      <c r="A9" s="4" t="s">
        <v>71</v>
      </c>
      <c r="B9" s="8">
        <v>15</v>
      </c>
      <c r="C9" s="5">
        <f>10*B9</f>
      </c>
    </row>
    <row r="10" spans="1:3" x14ac:dyDescent="0.25">
      <c r="A10" s="6" t="s">
        <v>72</v>
      </c>
      <c r="B10" s="9">
        <v>18</v>
      </c>
      <c r="C10" s="7">
        <f>5*B10</f>
      </c>
    </row>
    <row r="11" spans="1:3" x14ac:dyDescent="0.25">
      <c r="A11" s="4" t="s">
        <v>73</v>
      </c>
      <c r="B11" s="8">
        <v>11</v>
      </c>
      <c r="C11" s="5">
        <f>2*B11</f>
      </c>
    </row>
    <row r="12" spans="1:3" x14ac:dyDescent="0.25">
      <c r="A12" s="6" t="s">
        <v>74</v>
      </c>
      <c r="B12" s="9">
        <v>13</v>
      </c>
      <c r="C12" s="7">
        <f>1*B12</f>
      </c>
    </row>
    <row r="13" spans="1:3" x14ac:dyDescent="0.25">
      <c r="A13" s="4" t="s">
        <v>75</v>
      </c>
      <c r="B13" s="8">
        <v>17</v>
      </c>
      <c r="C13" s="5">
        <f>0.5*B13</f>
      </c>
    </row>
    <row r="14" spans="1:3" x14ac:dyDescent="0.25">
      <c r="A14" s="6" t="s">
        <v>76</v>
      </c>
      <c r="B14" s="9">
        <v>16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38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{A162CB83-748B-43EA-889E-BE1125997576}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62CB83-748B-43EA-889E-BE1125997576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