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 de Trabajo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<sst xmlns="http://schemas.openxmlformats.org/spreadsheetml/2006/main" count="19" uniqueCount="19">
  <si>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COSTEO POR ÓRDENES DE TRABAJO — ÓPTICA</t>
  </si>
  <si>
    <t>Costo de producción por lote o servicio</t>
  </si>
  <si>
    <t>Orden</t>
  </si>
  <si>
    <t>Materiales</t>
  </si>
  <si>
    <t>Mano de Obra</t>
  </si>
  <si>
    <t>CIF</t>
  </si>
  <si>
    <t>Costo Total</t>
  </si>
  <si>
    <t>Unidades</t>
  </si>
  <si>
    <t>Costo/Unidad</t>
  </si>
  <si>
    <t>OT-001</t>
  </si>
  <si>
    <t>OT-002</t>
  </si>
  <si>
    <t>OT-003</t>
  </si>
  <si>
    <t>OT-004</t>
  </si>
  <si>
    <t>OT-005</t>
  </si>
  <si>
    <t>OT-006</t>
  </si>
  <si>
    <t>OT-007</t>
  </si>
  <si>
    <t>OT-008</t>
  </si>
  <si>
    <t>TOTAL</t>
  </si>
  <si>
    <t>Óptica · Costeo porÓrdenes de Trabajo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</si>
</sst>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1" width="20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1932.58</v>
      </c>
      <c r="C5" s="5">
        <v>2275.02</v>
      </c>
      <c r="D5" s="5">
        <v>746.62</v>
      </c>
      <c r="E5" s="5">
        <f>B5+C5+D5</f>
      </c>
      <c r="F5" s="6">
        <v>187</v>
      </c>
      <c r="G5" s="5">
        <f>E5/F5</f>
      </c>
    </row>
    <row r="6" spans="1:7" x14ac:dyDescent="0.25">
      <c r="A6" s="7" t="s">
        <v>10</v>
      </c>
      <c r="B6" s="8">
        <v>3701</v>
      </c>
      <c r="C6" s="8">
        <v>2094.2</v>
      </c>
      <c r="D6" s="8">
        <v>1543.53</v>
      </c>
      <c r="E6" s="8">
        <f>B6+C6+D6</f>
      </c>
      <c r="F6" s="9">
        <v>164</v>
      </c>
      <c r="G6" s="8">
        <f>E6/F6</f>
      </c>
    </row>
    <row r="7" spans="1:7" x14ac:dyDescent="0.25">
      <c r="A7" s="4" t="s">
        <v>11</v>
      </c>
      <c r="B7" s="5">
        <v>2087.38</v>
      </c>
      <c r="C7" s="5">
        <v>433.15</v>
      </c>
      <c r="D7" s="5">
        <v>255.11</v>
      </c>
      <c r="E7" s="5">
        <f>B7+C7+D7</f>
      </c>
      <c r="F7" s="6">
        <v>236</v>
      </c>
      <c r="G7" s="5">
        <f>E7/F7</f>
      </c>
    </row>
    <row r="8" spans="1:7" x14ac:dyDescent="0.25">
      <c r="A8" s="7" t="s">
        <v>12</v>
      </c>
      <c r="B8" s="8">
        <v>857.97</v>
      </c>
      <c r="C8" s="8">
        <v>2123.27</v>
      </c>
      <c r="D8" s="8">
        <v>1094.93</v>
      </c>
      <c r="E8" s="8">
        <f>B8+C8+D8</f>
      </c>
      <c r="F8" s="9">
        <v>108</v>
      </c>
      <c r="G8" s="8">
        <f>E8/F8</f>
      </c>
    </row>
    <row r="9" spans="1:7" x14ac:dyDescent="0.25">
      <c r="A9" s="4" t="s">
        <v>13</v>
      </c>
      <c r="B9" s="5">
        <v>3111.99</v>
      </c>
      <c r="C9" s="5">
        <v>1903.7</v>
      </c>
      <c r="D9" s="5">
        <v>779.69</v>
      </c>
      <c r="E9" s="5">
        <f>B9+C9+D9</f>
      </c>
      <c r="F9" s="6">
        <v>184</v>
      </c>
      <c r="G9" s="5">
        <f>E9/F9</f>
      </c>
    </row>
    <row r="10" spans="1:7" x14ac:dyDescent="0.25">
      <c r="A10" s="7" t="s">
        <v>14</v>
      </c>
      <c r="B10" s="8">
        <v>1762.81</v>
      </c>
      <c r="C10" s="8">
        <v>789.64</v>
      </c>
      <c r="D10" s="8">
        <v>542.06</v>
      </c>
      <c r="E10" s="8">
        <f>B10+C10+D10</f>
      </c>
      <c r="F10" s="9">
        <v>161</v>
      </c>
      <c r="G10" s="8">
        <f>E10/F10</f>
      </c>
    </row>
    <row r="11" spans="1:7" x14ac:dyDescent="0.25">
      <c r="A11" s="4" t="s">
        <v>15</v>
      </c>
      <c r="B11" s="5">
        <v>3608.64</v>
      </c>
      <c r="C11" s="5">
        <v>883.51</v>
      </c>
      <c r="D11" s="5">
        <v>428.56</v>
      </c>
      <c r="E11" s="5">
        <f>B11+C11+D11</f>
      </c>
      <c r="F11" s="6">
        <v>90</v>
      </c>
      <c r="G11" s="5">
        <f>E11/F11</f>
      </c>
    </row>
    <row r="12" spans="1:7" x14ac:dyDescent="0.25">
      <c r="A12" s="7" t="s">
        <v>16</v>
      </c>
      <c r="B12" s="8">
        <v>1263.11</v>
      </c>
      <c r="C12" s="8">
        <v>339.04</v>
      </c>
      <c r="D12" s="8">
        <v>135.03</v>
      </c>
      <c r="E12" s="8">
        <f>B12+C12+D12</f>
      </c>
      <c r="F12" s="9">
        <v>78</v>
      </c>
      <c r="G12" s="8">
        <f>E12/F12</f>
      </c>
    </row>
    <row r="13" spans="1:7" x14ac:dyDescent="0.25">
      <c r="A13" s="10" t="s">
        <v>17</v>
      </c>
      <c r="B13" s="11">
        <f>SUM(B5:B12)</f>
      </c>
      <c r="C13" s="11">
        <f>SUM(C5:C12)</f>
      </c>
      <c r="D13" s="11">
        <f>SUM(D5:D12)</f>
      </c>
      <c r="E13" s="11">
        <f>SUM(E5:E12)</f>
      </c>
      <c r="F13" s="12">
        <f>SUM(F5:F12)</f>
      </c>
      <c r="G13" s="11">
        <f>E13/F13</f>
      </c>
    </row>
    <row r="15" spans="1:7" x14ac:dyDescent="0.25">
      <c r="A15" s="13" t="s">
        <v>18</v>
      </c>
      <c r="B15" s="13"/>
      <c r="C15" s="13"/>
      <c r="D15" s="13"/>
      <c r="E15" s="13"/>
      <c r="F15" s="13"/>
      <c r="G15" s="13"/>
    </row>
  </sheetData>
  <mergeCells count="3">
    <mergeCell ref="A1:G1"/>
    <mergeCell ref="A2:G2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