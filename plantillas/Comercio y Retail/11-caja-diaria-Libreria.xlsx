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<sst xmlns="http://schemas.openxmlformats.org/spreadsheetml/2006/main" count="129" uniqueCount="90">
  <si>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LIBRERÍA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</si>
  <si>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</si>
  <si>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</si>
  <si>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</si>
  <si>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</si>
  <si>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</si>
  <si>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</si>
  <si>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</si>
  <si>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</si>
  <si>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</si>
  <si>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</si>
  <si>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</si>
  <si>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Mochila</t>
  </si>
  <si>
    <t>08:30</t>
  </si>
  <si>
    <t>B001-10001</t>
  </si>
  <si>
    <t>Yape</t>
  </si>
  <si>
    <t>Cartulina</t>
  </si>
  <si>
    <t>09:15</t>
  </si>
  <si>
    <t>B001-10002</t>
  </si>
  <si>
    <t>Plin</t>
  </si>
  <si>
    <t>Engrapadora</t>
  </si>
  <si>
    <t>09:45</t>
  </si>
  <si>
    <t>B001-10003</t>
  </si>
  <si>
    <t>10:20</t>
  </si>
  <si>
    <t>B001-10004</t>
  </si>
  <si>
    <t>Tarjeta</t>
  </si>
  <si>
    <t>Plumones</t>
  </si>
  <si>
    <t>11:00</t>
  </si>
  <si>
    <t>B001-10005</t>
  </si>
  <si>
    <t>Cuaderno 100 hojas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</si>
  <si>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</si>
  <si>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</si>
  <si>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</si>
  <si>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</si>
  <si>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</si>
  <si>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</si>
  <si>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</si>
  <si>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</si>
  <si>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</si>
  <si>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</si>
  <si>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</si>
  <si>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</si>
  <si>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</si>
  <si>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</si>
  <si>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</si>
  <si>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</si>
  <si>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</si>
  <si>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Resmas A4</t>
  </si>
  <si>
    <t>16:45</t>
  </si>
  <si>
    <t>B001-10014</t>
  </si>
  <si>
    <t>Regla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</si>
  <si>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</si>
  <si>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</si>
  <si>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</si>
  <si>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</si>
  <si>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</si>
  <si>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</si>
  <si>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</si>
  <si>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</si>
  <si>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</si>
  <si>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</si>
  <si>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</si>
  <si>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</si>
  <si>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</si>
  <si>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</si>
  <si>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</si>
  <si>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</si>
  <si>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</si>
  <si>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</si>
  <si>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</si>
  <si>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</si>
  <si>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</si>
  <si>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</si>
  <si>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</si>
  <si>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</si>
  <si>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</si>
  <si>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</si>
  <si>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</si>
  <si>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LIBRERÍA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</si>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</sst>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48.51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48.37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11.37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4.53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37.32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5.5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20</v>
      </c>
      <c r="E11" s="5">
        <v>30.35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16</v>
      </c>
      <c r="E12" s="7">
        <v>47.93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16</v>
      </c>
      <c r="E13" s="5">
        <v>19.29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16</v>
      </c>
      <c r="E14" s="7">
        <v>53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29</v>
      </c>
      <c r="E15" s="5">
        <v>31.94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47.8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29</v>
      </c>
      <c r="E17" s="5">
        <v>44.49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33.02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50</v>
      </c>
      <c r="E19" s="5">
        <v>5.1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47</v>
      </c>
      <c r="E20" s="7">
        <v>52.43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49.77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29</v>
      </c>
      <c r="E22" s="7">
        <v>10.99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26</v>
      </c>
      <c r="E23" s="5">
        <v>31.65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29</v>
      </c>
      <c r="E24" s="7">
        <v>9.05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9</v>
      </c>
      <c r="C8" s="7">
        <f>20*B8</f>
      </c>
    </row>
    <row r="9" spans="1:3" x14ac:dyDescent="0.25">
      <c r="A9" s="4" t="s">
        <v>70</v>
      </c>
      <c r="B9" s="8">
        <v>17</v>
      </c>
      <c r="C9" s="5">
        <f>10*B9</f>
      </c>
    </row>
    <row r="10" spans="1:3" x14ac:dyDescent="0.25">
      <c r="A10" s="6" t="s">
        <v>71</v>
      </c>
      <c r="B10" s="9">
        <v>6</v>
      </c>
      <c r="C10" s="7">
        <f>5*B10</f>
      </c>
    </row>
    <row r="11" spans="1:3" x14ac:dyDescent="0.25">
      <c r="A11" s="4" t="s">
        <v>72</v>
      </c>
      <c r="B11" s="8">
        <v>2</v>
      </c>
      <c r="C11" s="5">
        <f>2*B11</f>
      </c>
    </row>
    <row r="12" spans="1:3" x14ac:dyDescent="0.25">
      <c r="A12" s="6" t="s">
        <v>73</v>
      </c>
      <c r="B12" s="9">
        <v>6</v>
      </c>
      <c r="C12" s="7">
        <f>1*B12</f>
      </c>
    </row>
    <row r="13" spans="1:3" x14ac:dyDescent="0.25">
      <c r="A13" s="4" t="s">
        <v>74</v>
      </c>
      <c r="B13" s="8">
        <v>3</v>
      </c>
      <c r="C13" s="5">
        <f>0.5*B13</f>
      </c>
    </row>
    <row r="14" spans="1:3" x14ac:dyDescent="0.25">
      <c r="A14" s="6" t="s">
        <v>75</v>
      </c>
      <c r="B14" s="9">
        <v>14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{D3EBB324-A917-488A-AD82-1627080CC818}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EBB324-A917-488A-AD82-1627080CC818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