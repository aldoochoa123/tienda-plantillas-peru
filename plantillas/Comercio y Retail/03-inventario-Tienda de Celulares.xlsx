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<sst xmlns="http://schemas.openxmlformats.org/spreadsheetml/2006/main" count="110" uniqueCount="45">
  <si>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TIENDA DE CELULARES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</si>
  <si>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</si>
  <si>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</si>
  <si>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</si>
  <si>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</si>
  <si>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</si>
  <si>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</si>
  <si>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</si>
  <si>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</si>
  <si>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</si>
  <si>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</si>
  <si>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</si>
  <si>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</si>
  <si>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</si>
  <si>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Celular gama media</t>
  </si>
  <si>
    <t>UND</t>
  </si>
  <si>
    <t>SKU-002</t>
  </si>
  <si>
    <t>Celular gama alta</t>
  </si>
  <si>
    <t>KG</t>
  </si>
  <si>
    <t>SKU-003</t>
  </si>
  <si>
    <t>Fundas</t>
  </si>
  <si>
    <t>CAJA</t>
  </si>
  <si>
    <t>SKU-004</t>
  </si>
  <si>
    <t>Micas</t>
  </si>
  <si>
    <t>PACK</t>
  </si>
  <si>
    <t>SKU-005</t>
  </si>
  <si>
    <t>Cargadores</t>
  </si>
  <si>
    <t>SKU-006</t>
  </si>
  <si>
    <t>Audífonos</t>
  </si>
  <si>
    <t>SKU-007</t>
  </si>
  <si>
    <t>Cables USB</t>
  </si>
  <si>
    <t>SKU-008</t>
  </si>
  <si>
    <t>Power bank</t>
  </si>
  <si>
    <t/>
  </si>
  <si>
    <t>VALOR TOTAL:</t>
  </si>
  <si>
    <t>MOVIMIENTOS DE ALMACÉN — TIENDA DE CELULARES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</si>
  <si>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</si>
  <si>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</si>
  <si>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</si>
  <si>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</si>
  <si>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</si>
  <si>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</si>
  <si>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</si>
  <si>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</si>
  <si>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Tienda de Celulares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</si>
</sst>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35</v>
      </c>
      <c r="E5" s="5">
        <v>38</v>
      </c>
      <c r="F5" s="5">
        <v>42</v>
      </c>
      <c r="G5" s="5">
        <f>D5+E5-F5</f>
      </c>
      <c r="H5" s="5">
        <v>15</v>
      </c>
      <c r="I5" s="6">
        <f>IF(G5&lt;=H5,"⚠ REPONER","OK")</f>
      </c>
      <c r="J5" s="7">
        <v>37.3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52</v>
      </c>
      <c r="E6" s="9">
        <v>5</v>
      </c>
      <c r="F6" s="9">
        <v>10</v>
      </c>
      <c r="G6" s="9">
        <f>D6+E6-F6</f>
      </c>
      <c r="H6" s="9">
        <v>15</v>
      </c>
      <c r="I6" s="10">
        <f>IF(G6&lt;=H6,"⚠ REPONER","OK")</f>
      </c>
      <c r="J6" s="11">
        <v>40.2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42</v>
      </c>
      <c r="E7" s="5">
        <v>21</v>
      </c>
      <c r="F7" s="5">
        <v>2</v>
      </c>
      <c r="G7" s="5">
        <f>D7+E7-F7</f>
      </c>
      <c r="H7" s="5">
        <v>15</v>
      </c>
      <c r="I7" s="6">
        <f>IF(G7&lt;=H7,"⚠ REPONER","OK")</f>
      </c>
      <c r="J7" s="7">
        <v>24.4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79</v>
      </c>
      <c r="E8" s="9">
        <v>31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16.6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85</v>
      </c>
      <c r="E9" s="5">
        <v>15</v>
      </c>
      <c r="F9" s="5">
        <v>19</v>
      </c>
      <c r="G9" s="5">
        <f>D9+E9-F9</f>
      </c>
      <c r="H9" s="5">
        <v>15</v>
      </c>
      <c r="I9" s="6">
        <f>IF(G9&lt;=H9,"⚠ REPONER","OK")</f>
      </c>
      <c r="J9" s="7">
        <v>20.7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70</v>
      </c>
      <c r="E10" s="9">
        <v>39</v>
      </c>
      <c r="F10" s="9">
        <v>52</v>
      </c>
      <c r="G10" s="9">
        <f>D10+E10-F10</f>
      </c>
      <c r="H10" s="9">
        <v>15</v>
      </c>
      <c r="I10" s="10">
        <f>IF(G10&lt;=H10,"⚠ REPONER","OK")</f>
      </c>
      <c r="J10" s="11">
        <v>27.5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12</v>
      </c>
      <c r="E11" s="5">
        <v>18</v>
      </c>
      <c r="F11" s="5">
        <v>48</v>
      </c>
      <c r="G11" s="5">
        <f>D11+E11-F11</f>
      </c>
      <c r="H11" s="5">
        <v>15</v>
      </c>
      <c r="I11" s="6">
        <f>IF(G11&lt;=H11,"⚠ REPONER","OK")</f>
      </c>
      <c r="J11" s="7">
        <v>19.8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55</v>
      </c>
      <c r="E12" s="9">
        <v>22</v>
      </c>
      <c r="F12" s="9">
        <v>42</v>
      </c>
      <c r="G12" s="9">
        <f>D12+E12-F12</f>
      </c>
      <c r="H12" s="9">
        <v>15</v>
      </c>
      <c r="I12" s="10">
        <f>IF(G12&lt;=H12,"⚠ REPONER","OK")</f>
      </c>
      <c r="J12" s="11">
        <v>2.8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{069C091D-DF7A-4E9B-B2A3-985476415234}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9C091D-DF7A-4E9B-B2A3-985476415234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46195</v>
      </c>
      <c r="B5" s="4" t="s">
        <v>41</v>
      </c>
      <c r="C5" s="4" t="s">
        <v>17</v>
      </c>
      <c r="D5" s="5">
        <v>16</v>
      </c>
      <c r="E5" s="4" t="s">
        <v>33</v>
      </c>
    </row>
    <row r="6" spans="1:5" x14ac:dyDescent="0.25">
      <c r="A6" s="13">
        <v>46199</v>
      </c>
      <c r="B6" s="8" t="s">
        <v>41</v>
      </c>
      <c r="C6" s="8" t="s">
        <v>26</v>
      </c>
      <c r="D6" s="9">
        <v>18</v>
      </c>
      <c r="E6" s="8" t="s">
        <v>33</v>
      </c>
    </row>
    <row r="7" spans="1:5" x14ac:dyDescent="0.25">
      <c r="A7" s="12">
        <v>46156</v>
      </c>
      <c r="B7" s="4" t="s">
        <v>41</v>
      </c>
      <c r="C7" s="4" t="s">
        <v>28</v>
      </c>
      <c r="D7" s="5">
        <v>14</v>
      </c>
      <c r="E7" s="4" t="s">
        <v>33</v>
      </c>
    </row>
    <row r="8" spans="1:5" x14ac:dyDescent="0.25">
      <c r="A8" s="13">
        <v>46026</v>
      </c>
      <c r="B8" s="8" t="s">
        <v>42</v>
      </c>
      <c r="C8" s="8" t="s">
        <v>14</v>
      </c>
      <c r="D8" s="9">
        <v>20</v>
      </c>
      <c r="E8" s="8" t="s">
        <v>33</v>
      </c>
    </row>
    <row r="9" spans="1:5" x14ac:dyDescent="0.25">
      <c r="A9" s="12">
        <v>46178</v>
      </c>
      <c r="B9" s="4" t="s">
        <v>42</v>
      </c>
      <c r="C9" s="4" t="s">
        <v>32</v>
      </c>
      <c r="D9" s="5">
        <v>15</v>
      </c>
      <c r="E9" s="4" t="s">
        <v>33</v>
      </c>
    </row>
    <row r="10" spans="1:5" x14ac:dyDescent="0.25">
      <c r="A10" s="13">
        <v>46094</v>
      </c>
      <c r="B10" s="8" t="s">
        <v>42</v>
      </c>
      <c r="C10" s="8" t="s">
        <v>30</v>
      </c>
      <c r="D10" s="9">
        <v>11</v>
      </c>
      <c r="E10" s="8" t="s">
        <v>33</v>
      </c>
    </row>
    <row r="11" spans="1:5" x14ac:dyDescent="0.25">
      <c r="A11" s="12">
        <v>46046</v>
      </c>
      <c r="B11" s="4" t="s">
        <v>42</v>
      </c>
      <c r="C11" s="4" t="s">
        <v>14</v>
      </c>
      <c r="D11" s="5">
        <v>7</v>
      </c>
      <c r="E11" s="4" t="s">
        <v>33</v>
      </c>
    </row>
    <row r="12" spans="1:5" x14ac:dyDescent="0.25">
      <c r="A12" s="13">
        <v>46065</v>
      </c>
      <c r="B12" s="8" t="s">
        <v>41</v>
      </c>
      <c r="C12" s="8" t="s">
        <v>30</v>
      </c>
      <c r="D12" s="9">
        <v>3</v>
      </c>
      <c r="E12" s="8" t="s">
        <v>33</v>
      </c>
    </row>
    <row r="13" spans="1:5" x14ac:dyDescent="0.25">
      <c r="A13" s="12">
        <v>46074</v>
      </c>
      <c r="B13" s="4" t="s">
        <v>41</v>
      </c>
      <c r="C13" s="4" t="s">
        <v>28</v>
      </c>
      <c r="D13" s="5">
        <v>8</v>
      </c>
      <c r="E13" s="4" t="s">
        <v>33</v>
      </c>
    </row>
    <row r="14" spans="1:5" x14ac:dyDescent="0.25">
      <c r="A14" s="13">
        <v>46119</v>
      </c>
      <c r="B14" s="8" t="s">
        <v>41</v>
      </c>
      <c r="C14" s="8" t="s">
        <v>26</v>
      </c>
      <c r="D14" s="9">
        <v>14</v>
      </c>
      <c r="E14" s="8" t="s">
        <v>33</v>
      </c>
    </row>
    <row r="15" spans="1:5" x14ac:dyDescent="0.25">
      <c r="A15" s="12">
        <v>46079</v>
      </c>
      <c r="B15" s="4" t="s">
        <v>42</v>
      </c>
      <c r="C15" s="4" t="s">
        <v>17</v>
      </c>
      <c r="D15" s="5">
        <v>14</v>
      </c>
      <c r="E15" s="4" t="s">
        <v>33</v>
      </c>
    </row>
    <row r="16" spans="1:5" x14ac:dyDescent="0.25">
      <c r="A16" s="13">
        <v>46218</v>
      </c>
      <c r="B16" s="8" t="s">
        <v>42</v>
      </c>
      <c r="C16" s="8" t="s">
        <v>26</v>
      </c>
      <c r="D16" s="9">
        <v>16</v>
      </c>
      <c r="E16" s="8" t="s">
        <v>33</v>
      </c>
    </row>
    <row r="17" spans="1:5" x14ac:dyDescent="0.25">
      <c r="A17" s="12">
        <v>46075</v>
      </c>
      <c r="B17" s="4" t="s">
        <v>41</v>
      </c>
      <c r="C17" s="4" t="s">
        <v>20</v>
      </c>
      <c r="D17" s="5">
        <v>19</v>
      </c>
      <c r="E17" s="4" t="s">
        <v>33</v>
      </c>
    </row>
    <row r="18" spans="1:5" x14ac:dyDescent="0.25">
      <c r="A18" s="13">
        <v>46163</v>
      </c>
      <c r="B18" s="8" t="s">
        <v>42</v>
      </c>
      <c r="C18" s="8" t="s">
        <v>20</v>
      </c>
      <c r="D18" s="9">
        <v>9</v>
      </c>
      <c r="E18" s="8" t="s">
        <v>33</v>
      </c>
    </row>
    <row r="19" spans="1:5" x14ac:dyDescent="0.25">
      <c r="A19" s="12">
        <v>46213</v>
      </c>
      <c r="B19" s="4" t="s">
        <v>41</v>
      </c>
      <c r="C19" s="4" t="s">
        <v>17</v>
      </c>
      <c r="D19" s="5">
        <v>15</v>
      </c>
      <c r="E19" s="4" t="s">
        <v>33</v>
      </c>
    </row>
    <row r="20" spans="1:5" x14ac:dyDescent="0.25">
      <c r="A20" s="13">
        <v>46167</v>
      </c>
      <c r="B20" s="8" t="s">
        <v>42</v>
      </c>
      <c r="C20" s="8" t="s">
        <v>28</v>
      </c>
      <c r="D20" s="9">
        <v>14</v>
      </c>
      <c r="E20" s="8" t="s">
        <v>33</v>
      </c>
    </row>
    <row r="21" spans="1:5" x14ac:dyDescent="0.25">
      <c r="A21" s="12">
        <v>46186</v>
      </c>
      <c r="B21" s="4" t="s">
        <v>42</v>
      </c>
      <c r="C21" s="4" t="s">
        <v>26</v>
      </c>
      <c r="D21" s="5">
        <v>6</v>
      </c>
      <c r="E21" s="4" t="s">
        <v>33</v>
      </c>
    </row>
    <row r="22" spans="1:5" x14ac:dyDescent="0.25">
      <c r="A22" s="13">
        <v>46182</v>
      </c>
      <c r="B22" s="8" t="s">
        <v>42</v>
      </c>
      <c r="C22" s="8" t="s">
        <v>20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