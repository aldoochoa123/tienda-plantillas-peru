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<sst xmlns="http://schemas.openxmlformats.org/spreadsheetml/2006/main" count="129" uniqueCount="90">
  <si>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REGALOS Y DETALLES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</si>
  <si>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</si>
  <si>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</si>
  <si>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</si>
  <si>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</si>
  <si>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</si>
  <si>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</si>
  <si>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</si>
  <si>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</si>
  <si>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</si>
  <si>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</si>
  <si>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</si>
  <si>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Globos de helio</t>
  </si>
  <si>
    <t>08:30</t>
  </si>
  <si>
    <t>B001-10001</t>
  </si>
  <si>
    <t>Yape</t>
  </si>
  <si>
    <t>Desayuno romántico</t>
  </si>
  <si>
    <t>09:15</t>
  </si>
  <si>
    <t>B001-10002</t>
  </si>
  <si>
    <t>Plin</t>
  </si>
  <si>
    <t>09:45</t>
  </si>
  <si>
    <t>B001-10003</t>
  </si>
  <si>
    <t>10:20</t>
  </si>
  <si>
    <t>B001-10004</t>
  </si>
  <si>
    <t>Tarjeta</t>
  </si>
  <si>
    <t>Ramo de flores</t>
  </si>
  <si>
    <t>11:00</t>
  </si>
  <si>
    <t>B001-10005</t>
  </si>
  <si>
    <t>Peluche con caja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</si>
  <si>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</si>
  <si>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</si>
  <si>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</si>
  <si>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</si>
  <si>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</si>
  <si>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</si>
  <si>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</si>
  <si>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</si>
  <si>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</si>
  <si>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Tarjetas</t>
  </si>
  <si>
    <t>14:10</t>
  </si>
  <si>
    <t>B001-10010</t>
  </si>
  <si>
    <t>Desayuno a domicilio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</si>
  <si>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</si>
  <si>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</si>
  <si>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</si>
  <si>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</si>
  <si>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</si>
  <si>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</si>
  <si>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</si>
  <si>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</si>
  <si>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</si>
  <si>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</si>
  <si>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Caja sorpresa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</si>
  <si>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</si>
  <si>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</si>
  <si>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</si>
  <si>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</si>
  <si>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</si>
  <si>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</si>
  <si>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</si>
  <si>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</si>
  <si>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</si>
  <si>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</si>
  <si>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</si>
  <si>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</si>
  <si>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</si>
  <si>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</si>
  <si>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</si>
  <si>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</si>
  <si>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</si>
  <si>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</si>
  <si>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</si>
  <si>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</si>
  <si>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</si>
  <si>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</si>
  <si>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</si>
  <si>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</si>
  <si>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</si>
  <si>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REGALOS Y DETALLES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</si>
  <si>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</si>
  <si>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</si>
  <si>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</si>
  <si>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</si>
  <si>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</si>
  <si>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</si>
  <si>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</si>
  <si>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</si>
  <si>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</si>
  <si>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</si>
  <si>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Regalos y Detalles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</si>
</sst>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13.08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55.25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16</v>
      </c>
      <c r="E7" s="5">
        <v>50.04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12</v>
      </c>
      <c r="E8" s="7">
        <v>15.28</v>
      </c>
      <c r="F8" s="7">
        <f>ROUND(E8/1.18*0.18,2)</f>
      </c>
      <c r="G8" s="7">
        <f>E8</f>
      </c>
    </row>
    <row r="9" spans="1:7" x14ac:dyDescent="0.25">
      <c r="A9" s="4" t="s">
        <v>22</v>
      </c>
      <c r="B9" s="4" t="s">
        <v>23</v>
      </c>
      <c r="C9" s="4" t="s">
        <v>24</v>
      </c>
      <c r="D9" s="4" t="s">
        <v>25</v>
      </c>
      <c r="E9" s="5">
        <v>51.41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42.76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12</v>
      </c>
      <c r="E11" s="5">
        <v>57.68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12</v>
      </c>
      <c r="E12" s="7">
        <v>4.78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16</v>
      </c>
      <c r="E13" s="5">
        <v>23.35</v>
      </c>
      <c r="F13" s="5">
        <f>ROUND(E13/1.18*0.18,2)</f>
      </c>
      <c r="G13" s="5">
        <f>E13</f>
      </c>
    </row>
    <row r="14" spans="1:7" x14ac:dyDescent="0.25">
      <c r="A14" s="6" t="s">
        <v>36</v>
      </c>
      <c r="B14" s="6" t="s">
        <v>37</v>
      </c>
      <c r="C14" s="6" t="s">
        <v>15</v>
      </c>
      <c r="D14" s="6" t="s">
        <v>38</v>
      </c>
      <c r="E14" s="7">
        <v>37.07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41</v>
      </c>
      <c r="E15" s="5">
        <v>6.69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41</v>
      </c>
      <c r="E16" s="7">
        <v>47.71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25</v>
      </c>
      <c r="E17" s="5">
        <v>9.74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41</v>
      </c>
      <c r="E18" s="7">
        <v>6.38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24</v>
      </c>
      <c r="D19" s="4" t="s">
        <v>12</v>
      </c>
      <c r="E19" s="5">
        <v>23.52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52</v>
      </c>
      <c r="E20" s="7">
        <v>41.45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41</v>
      </c>
      <c r="E21" s="5">
        <v>43.23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41</v>
      </c>
      <c r="E22" s="7">
        <v>16.36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35</v>
      </c>
      <c r="D23" s="4" t="s">
        <v>38</v>
      </c>
      <c r="E23" s="5">
        <v>17.73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12</v>
      </c>
      <c r="E24" s="7">
        <v>7.61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1</v>
      </c>
      <c r="C5" s="5">
        <f>200*B5</f>
      </c>
    </row>
    <row r="6" spans="1:3" x14ac:dyDescent="0.25">
      <c r="A6" s="6" t="s">
        <v>67</v>
      </c>
      <c r="B6" s="9">
        <v>2</v>
      </c>
      <c r="C6" s="7">
        <f>100*B6</f>
      </c>
    </row>
    <row r="7" spans="1:3" x14ac:dyDescent="0.25">
      <c r="A7" s="4" t="s">
        <v>68</v>
      </c>
      <c r="B7" s="8">
        <v>4</v>
      </c>
      <c r="C7" s="5">
        <f>50*B7</f>
      </c>
    </row>
    <row r="8" spans="1:3" x14ac:dyDescent="0.25">
      <c r="A8" s="6" t="s">
        <v>69</v>
      </c>
      <c r="B8" s="9">
        <v>4</v>
      </c>
      <c r="C8" s="7">
        <f>20*B8</f>
      </c>
    </row>
    <row r="9" spans="1:3" x14ac:dyDescent="0.25">
      <c r="A9" s="4" t="s">
        <v>70</v>
      </c>
      <c r="B9" s="8">
        <v>8</v>
      </c>
      <c r="C9" s="5">
        <f>10*B9</f>
      </c>
    </row>
    <row r="10" spans="1:3" x14ac:dyDescent="0.25">
      <c r="A10" s="6" t="s">
        <v>71</v>
      </c>
      <c r="B10" s="9">
        <v>3</v>
      </c>
      <c r="C10" s="7">
        <f>5*B10</f>
      </c>
    </row>
    <row r="11" spans="1:3" x14ac:dyDescent="0.25">
      <c r="A11" s="4" t="s">
        <v>72</v>
      </c>
      <c r="B11" s="8">
        <v>19</v>
      </c>
      <c r="C11" s="5">
        <f>2*B11</f>
      </c>
    </row>
    <row r="12" spans="1:3" x14ac:dyDescent="0.25">
      <c r="A12" s="6" t="s">
        <v>73</v>
      </c>
      <c r="B12" s="9">
        <v>5</v>
      </c>
      <c r="C12" s="7">
        <f>1*B12</f>
      </c>
    </row>
    <row r="13" spans="1:3" x14ac:dyDescent="0.25">
      <c r="A13" s="4" t="s">
        <v>74</v>
      </c>
      <c r="B13" s="8">
        <v>16</v>
      </c>
      <c r="C13" s="5">
        <f>0.5*B13</f>
      </c>
    </row>
    <row r="14" spans="1:3" x14ac:dyDescent="0.25">
      <c r="A14" s="6" t="s">
        <v>75</v>
      </c>
      <c r="B14" s="9">
        <v>14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24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{9DCDF612-72E5-4295-B59F-7D56AF776076}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CDF612-72E5-4295-B59F-7D56AF776076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