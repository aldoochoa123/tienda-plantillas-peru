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<sst xmlns="http://schemas.openxmlformats.org/spreadsheetml/2006/main" count="129" uniqueCount="90">
  <si>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MUEBLERÍA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</si>
  <si>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</si>
  <si>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</si>
  <si>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</si>
  <si>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</si>
  <si>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</si>
  <si>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</si>
  <si>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</si>
  <si>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</si>
  <si>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</si>
  <si>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</si>
  <si>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</si>
  <si>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Escritorio</t>
  </si>
  <si>
    <t>08:30</t>
  </si>
  <si>
    <t>B001-10001</t>
  </si>
  <si>
    <t>Yape</t>
  </si>
  <si>
    <t>Comedor 4 sillas</t>
  </si>
  <si>
    <t>09:15</t>
  </si>
  <si>
    <t>B001-10002</t>
  </si>
  <si>
    <t>Plin</t>
  </si>
  <si>
    <t>Sala de 3 piezas</t>
  </si>
  <si>
    <t>09:45</t>
  </si>
  <si>
    <t>B001-10003</t>
  </si>
  <si>
    <t>Ropero</t>
  </si>
  <si>
    <t>10:20</t>
  </si>
  <si>
    <t>B001-10004</t>
  </si>
  <si>
    <t>Tarjeta</t>
  </si>
  <si>
    <t>Zapatero</t>
  </si>
  <si>
    <t>11:00</t>
  </si>
  <si>
    <t>B001-10005</t>
  </si>
  <si>
    <t>Dormitorio completo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</si>
  <si>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</si>
  <si>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</si>
  <si>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</si>
  <si>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</si>
  <si>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</si>
  <si>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</si>
  <si>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</si>
  <si>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</si>
  <si>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</si>
  <si>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Mesa de centro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</si>
  <si>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</si>
  <si>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</si>
  <si>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</si>
  <si>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</si>
  <si>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</si>
  <si>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</si>
  <si>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</si>
  <si>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</si>
  <si>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</si>
  <si>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</si>
  <si>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</si>
  <si>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</si>
  <si>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</si>
  <si>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</si>
  <si>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</si>
  <si>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</si>
  <si>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</si>
  <si>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</si>
  <si>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</si>
  <si>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</si>
  <si>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</si>
  <si>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</si>
  <si>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</si>
  <si>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</si>
  <si>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</si>
  <si>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</si>
  <si>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</si>
  <si>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</si>
  <si>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</si>
  <si>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</si>
  <si>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</si>
  <si>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</si>
  <si>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</si>
  <si>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</si>
  <si>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</si>
  <si>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</si>
  <si>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</si>
  <si>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MUEBLERÍA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</si>
  <si>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</si>
  <si>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</si>
  <si>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</si>
  <si>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</si>
  <si>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</si>
  <si>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</si>
  <si>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</si>
  <si>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</si>
  <si>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</si>
  <si>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</si>
  <si>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Mueblería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</si>
</sst>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38.22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24.33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28.09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12.08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9.82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30</v>
      </c>
      <c r="E10" s="7">
        <v>35.85</v>
      </c>
      <c r="F10" s="7">
        <f>ROUND(E10/1.18*0.18,2)</f>
      </c>
      <c r="G10" s="7">
        <f>E10</f>
      </c>
    </row>
    <row r="11" spans="1:7" x14ac:dyDescent="0.25">
      <c r="A11" s="4" t="s">
        <v>31</v>
      </c>
      <c r="B11" s="4" t="s">
        <v>32</v>
      </c>
      <c r="C11" s="4" t="s">
        <v>11</v>
      </c>
      <c r="D11" s="4" t="s">
        <v>12</v>
      </c>
      <c r="E11" s="5">
        <v>51.47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16</v>
      </c>
      <c r="E12" s="7">
        <v>29.93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23</v>
      </c>
      <c r="E13" s="5">
        <v>20.88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32.81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30</v>
      </c>
      <c r="E15" s="5">
        <v>47.02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12</v>
      </c>
      <c r="E16" s="7">
        <v>14.66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23</v>
      </c>
      <c r="E17" s="5">
        <v>25.06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20</v>
      </c>
      <c r="E18" s="7">
        <v>38.24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23</v>
      </c>
      <c r="E19" s="5">
        <v>26.79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27</v>
      </c>
      <c r="E20" s="7">
        <v>24.74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27</v>
      </c>
      <c r="E21" s="5">
        <v>33.51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12</v>
      </c>
      <c r="E22" s="7">
        <v>10.52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20</v>
      </c>
      <c r="E23" s="5">
        <v>7.64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12</v>
      </c>
      <c r="E24" s="7">
        <v>27.52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3</v>
      </c>
      <c r="C7" s="5">
        <f>50*B7</f>
      </c>
    </row>
    <row r="8" spans="1:3" x14ac:dyDescent="0.25">
      <c r="A8" s="6" t="s">
        <v>69</v>
      </c>
      <c r="B8" s="9">
        <v>16</v>
      </c>
      <c r="C8" s="7">
        <f>20*B8</f>
      </c>
    </row>
    <row r="9" spans="1:3" x14ac:dyDescent="0.25">
      <c r="A9" s="4" t="s">
        <v>70</v>
      </c>
      <c r="B9" s="8">
        <v>1</v>
      </c>
      <c r="C9" s="5">
        <f>10*B9</f>
      </c>
    </row>
    <row r="10" spans="1:3" x14ac:dyDescent="0.25">
      <c r="A10" s="6" t="s">
        <v>71</v>
      </c>
      <c r="B10" s="9">
        <v>12</v>
      </c>
      <c r="C10" s="7">
        <f>5*B10</f>
      </c>
    </row>
    <row r="11" spans="1:3" x14ac:dyDescent="0.25">
      <c r="A11" s="4" t="s">
        <v>72</v>
      </c>
      <c r="B11" s="8">
        <v>10</v>
      </c>
      <c r="C11" s="5">
        <f>2*B11</f>
      </c>
    </row>
    <row r="12" spans="1:3" x14ac:dyDescent="0.25">
      <c r="A12" s="6" t="s">
        <v>73</v>
      </c>
      <c r="B12" s="9">
        <v>16</v>
      </c>
      <c r="C12" s="7">
        <f>1*B12</f>
      </c>
    </row>
    <row r="13" spans="1:3" x14ac:dyDescent="0.25">
      <c r="A13" s="4" t="s">
        <v>74</v>
      </c>
      <c r="B13" s="8">
        <v>2</v>
      </c>
      <c r="C13" s="5">
        <f>0.5*B13</f>
      </c>
    </row>
    <row r="14" spans="1:3" x14ac:dyDescent="0.25">
      <c r="A14" s="6" t="s">
        <v>75</v>
      </c>
      <c r="B14" s="9">
        <v>11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{FB4D47A8-2C29-47FF-B31A-DF6FFF936B50}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4D47A8-2C29-47FF-B31A-DF6FFF936B5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