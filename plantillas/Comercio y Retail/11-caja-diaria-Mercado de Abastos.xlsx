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<sst xmlns="http://schemas.openxmlformats.org/spreadsheetml/2006/main" count="129" uniqueCount="91">
  <si>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MERCADO DE ABASTOS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</si>
  <si>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</si>
  <si>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</si>
  <si>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</si>
  <si>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</si>
  <si>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</si>
  <si>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</si>
  <si>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</si>
  <si>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</si>
  <si>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</si>
  <si>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</si>
  <si>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</si>
  <si>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Puesto de frutas</t>
  </si>
  <si>
    <t>08:30</t>
  </si>
  <si>
    <t>B001-10001</t>
  </si>
  <si>
    <t>Yape</t>
  </si>
  <si>
    <t>Puesto de pescados</t>
  </si>
  <si>
    <t>09:15</t>
  </si>
  <si>
    <t>B001-10002</t>
  </si>
  <si>
    <t>Plin</t>
  </si>
  <si>
    <t>Puesto de especias</t>
  </si>
  <si>
    <t>09:45</t>
  </si>
  <si>
    <t>B001-10003</t>
  </si>
  <si>
    <t>Puesto de verduras</t>
  </si>
  <si>
    <t>10:20</t>
  </si>
  <si>
    <t>B001-10004</t>
  </si>
  <si>
    <t>Tarjeta</t>
  </si>
  <si>
    <t>11:00</t>
  </si>
  <si>
    <t>B001-10005</t>
  </si>
  <si>
    <t>Puesto de menestras</t>
  </si>
  <si>
    <t>11:40</t>
  </si>
  <si>
    <t>B001-10006</t>
  </si>
  <si>
    <t>12:15</t>
  </si>
  <si>
    <t>B001-10007</t>
  </si>
  <si>
    <t>Puesto de abarrotes</t>
  </si>
  <si>
    <t>12:50</t>
  </si>
  <si>
    <t>B001-10008</t>
  </si>
  <si>
    <t>Transferencia</t>
  </si>
  <si>
    <t>13:30</t>
  </si>
  <si>
    <t>B001-10009</t>
  </si>
  <si>
    <t>14:10</t>
  </si>
  <si>
    <t>B001-10010</t>
  </si>
  <si>
    <t>Puesto de lácteos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</si>
  <si>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</si>
  <si>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</si>
  <si>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</si>
  <si>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</si>
  <si>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</si>
  <si>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</si>
  <si>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</si>
  <si>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</si>
  <si>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Puesto de carnes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</si>
  <si>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</si>
  <si>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</si>
  <si>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</si>
  <si>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</si>
  <si>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</si>
  <si>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</si>
  <si>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</si>
  <si>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</si>
  <si>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</si>
  <si>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</si>
  <si>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</si>
  <si>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</si>
  <si>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</si>
  <si>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</si>
  <si>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</si>
  <si>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</si>
  <si>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</si>
  <si>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</si>
  <si>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</si>
  <si>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</si>
  <si>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</si>
  <si>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</si>
  <si>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</si>
  <si>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</si>
  <si>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</si>
  <si>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</si>
  <si>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</si>
  <si>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MERCADO DE ABASTOS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</si>
  <si>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</si>
  <si>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</si>
  <si>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</si>
  <si>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</si>
  <si>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</si>
  <si>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</si>
  <si>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</si>
  <si>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</si>
  <si>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</si>
  <si>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</si>
  <si>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Mercado de Abastos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</si>
</sst>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48.23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41.31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24.56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51.02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16</v>
      </c>
      <c r="E9" s="5">
        <v>12.84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55.16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12</v>
      </c>
      <c r="E11" s="5">
        <v>15.47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51.78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34</v>
      </c>
      <c r="E13" s="5">
        <v>37.18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20</v>
      </c>
      <c r="E14" s="7">
        <v>5.73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42</v>
      </c>
      <c r="E15" s="5">
        <v>6.89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29</v>
      </c>
      <c r="E16" s="7">
        <v>4.5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29</v>
      </c>
      <c r="E17" s="5">
        <v>44.07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23</v>
      </c>
      <c r="E18" s="7">
        <v>50.18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51</v>
      </c>
      <c r="E19" s="5">
        <v>21.79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34</v>
      </c>
      <c r="E20" s="7">
        <v>32.02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23</v>
      </c>
      <c r="E21" s="5">
        <v>22.21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34</v>
      </c>
      <c r="E22" s="7">
        <v>11.99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34</v>
      </c>
      <c r="E23" s="5">
        <v>9.11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42</v>
      </c>
      <c r="E24" s="7">
        <v>23.61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0</v>
      </c>
      <c r="C6" s="7">
        <f>100*B6</f>
      </c>
    </row>
    <row r="7" spans="1:3" x14ac:dyDescent="0.25">
      <c r="A7" s="4" t="s">
        <v>69</v>
      </c>
      <c r="B7" s="8">
        <v>3</v>
      </c>
      <c r="C7" s="5">
        <f>50*B7</f>
      </c>
    </row>
    <row r="8" spans="1:3" x14ac:dyDescent="0.25">
      <c r="A8" s="6" t="s">
        <v>70</v>
      </c>
      <c r="B8" s="9">
        <v>4</v>
      </c>
      <c r="C8" s="7">
        <f>20*B8</f>
      </c>
    </row>
    <row r="9" spans="1:3" x14ac:dyDescent="0.25">
      <c r="A9" s="4" t="s">
        <v>71</v>
      </c>
      <c r="B9" s="8">
        <v>5</v>
      </c>
      <c r="C9" s="5">
        <f>10*B9</f>
      </c>
    </row>
    <row r="10" spans="1:3" x14ac:dyDescent="0.25">
      <c r="A10" s="6" t="s">
        <v>72</v>
      </c>
      <c r="B10" s="9">
        <v>14</v>
      </c>
      <c r="C10" s="7">
        <f>5*B10</f>
      </c>
    </row>
    <row r="11" spans="1:3" x14ac:dyDescent="0.25">
      <c r="A11" s="4" t="s">
        <v>73</v>
      </c>
      <c r="B11" s="8">
        <v>19</v>
      </c>
      <c r="C11" s="5">
        <f>2*B11</f>
      </c>
    </row>
    <row r="12" spans="1:3" x14ac:dyDescent="0.25">
      <c r="A12" s="6" t="s">
        <v>74</v>
      </c>
      <c r="B12" s="9">
        <v>11</v>
      </c>
      <c r="C12" s="7">
        <f>1*B12</f>
      </c>
    </row>
    <row r="13" spans="1:3" x14ac:dyDescent="0.25">
      <c r="A13" s="4" t="s">
        <v>75</v>
      </c>
      <c r="B13" s="8">
        <v>15</v>
      </c>
      <c r="C13" s="5">
        <f>0.5*B13</f>
      </c>
    </row>
    <row r="14" spans="1:3" x14ac:dyDescent="0.25">
      <c r="A14" s="6" t="s">
        <v>76</v>
      </c>
      <c r="B14" s="9">
        <v>13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{BFE53609-74D6-44CA-A6CE-1223D2D5FEA3}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E53609-74D6-44CA-A6CE-1223D2D5FEA3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