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nel" state="visible" r:id="rId4"/>
    <sheet sheetId="2" name="Ingresos" state="visible" r:id="rId5"/>
    <sheet sheetId="3" name="Gastos" state="visible" r:id="rId6"/>
  </sheets>
  <calcPr calcId="171027"/>
</workbook>
</file>

<file path=xl/sharedStrings.xml><?xml version="1.0" encoding="utf-8"?>
<sst xmlns="http://schemas.openxmlformats.org/spreadsheetml/2006/main" count="239" uniqueCount="74">
  <si>
    <t>DASHBOARD FINANCIERO — MERCADO DE ABASTOS</t>
  </si>
  <si>
    <t>Organiza, analiza y toma mejores decisiones · Todo se calcula automáticamente</t>
  </si>
  <si>
    <t>INGRESOS TOTALES</t>
  </si>
  <si>
    <t>GASTOS TOTALES</t>
  </si>
  <si>
    <t>UTILIDAD</t>
  </si>
  <si>
    <t/>
  </si>
  <si>
    <t>EVOLUCIÓN MENSUAL</t>
  </si>
  <si>
    <t>DISTRIBUCIÓN DE GASTOS</t>
  </si>
  <si>
    <t>Mes</t>
  </si>
  <si>
    <t>Ingresos</t>
  </si>
  <si>
    <t>Gastos</t>
  </si>
  <si>
    <t>Utilidad</t>
  </si>
  <si>
    <t>Margen</t>
  </si>
  <si>
    <t>Categoría</t>
  </si>
  <si>
    <t>Monto</t>
  </si>
  <si>
    <t>%</t>
  </si>
  <si>
    <t>Ene</t>
  </si>
  <si>
    <t>Insumos</t>
  </si>
  <si>
    <t>Feb</t>
  </si>
  <si>
    <t>Alquiler</t>
  </si>
  <si>
    <t>Mar</t>
  </si>
  <si>
    <t>Servicios</t>
  </si>
  <si>
    <t>Abr</t>
  </si>
  <si>
    <t>Personal</t>
  </si>
  <si>
    <t>May</t>
  </si>
  <si>
    <t>Marketing</t>
  </si>
  <si>
    <t>Jun</t>
  </si>
  <si>
    <t>Transporte</t>
  </si>
  <si>
    <t>Jul</t>
  </si>
  <si>
    <t>Ago</t>
  </si>
  <si>
    <t>Sep</t>
  </si>
  <si>
    <t>Oct</t>
  </si>
  <si>
    <t>Nov</t>
  </si>
  <si>
    <t>Dic</t>
  </si>
  <si>
    <t>TOTAL</t>
  </si>
  <si>
    <t>💡 Los datos son de ejemplo: reemplázalos con los tuyos en las hojas Ingresos y Gastos.</t>
  </si>
  <si>
    <t>Más plantillas · Más control · Mejores resultados — Pack Plantillas Perú</t>
  </si>
  <si>
    <t>REGISTRO DE INGRESOS — MERCADO DE ABASTOS</t>
  </si>
  <si>
    <t>Registra cada venta o ingreso aquí; el Panel se actualiza solo</t>
  </si>
  <si>
    <t>Fecha</t>
  </si>
  <si>
    <t>Comprobante</t>
  </si>
  <si>
    <t>Cliente</t>
  </si>
  <si>
    <t>Detalle</t>
  </si>
  <si>
    <t>Cant.</t>
  </si>
  <si>
    <t>Precio Unit.</t>
  </si>
  <si>
    <t>Total</t>
  </si>
  <si>
    <t>Boleta</t>
  </si>
  <si>
    <t>Maria Lopez S.A.C.</t>
  </si>
  <si>
    <t>Puesto de especias</t>
  </si>
  <si>
    <t>Mercado Central</t>
  </si>
  <si>
    <t>Puesto de frutas</t>
  </si>
  <si>
    <t>Inversiones Norte E.I.R.L.</t>
  </si>
  <si>
    <t>Factura</t>
  </si>
  <si>
    <t>Juan Pérez</t>
  </si>
  <si>
    <t>Puesto de carnes</t>
  </si>
  <si>
    <t>Puesto de abarrotes</t>
  </si>
  <si>
    <t>Lucía Fernández</t>
  </si>
  <si>
    <t>Puesto de menestras</t>
  </si>
  <si>
    <t>Puesto de lácteos</t>
  </si>
  <si>
    <t>Comercial Andina</t>
  </si>
  <si>
    <t>Puesto de pescados</t>
  </si>
  <si>
    <t>Distribuidora Sur</t>
  </si>
  <si>
    <t>Puesto de verduras</t>
  </si>
  <si>
    <t>💡 Agrega más filas copiando el formato. La columna Total ya tiene la fórmula.</t>
  </si>
  <si>
    <t>Mercado de Abastos · Plantilla profesional Pack Perú</t>
  </si>
  <si>
    <t>REGISTRO DE GASTOS — MERCADO DE ABASTOS</t>
  </si>
  <si>
    <t>Registra cada gasto con su categoría</t>
  </si>
  <si>
    <t>Costo Unit.</t>
  </si>
  <si>
    <t>Sueldo quincenal</t>
  </si>
  <si>
    <t>Compra de insumos</t>
  </si>
  <si>
    <t>Alquiler del local</t>
  </si>
  <si>
    <t>Gasolina</t>
  </si>
  <si>
    <t>Publicidad en Facebook</t>
  </si>
  <si>
    <t>Recibo de luz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</si>
</sst>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64" fontId="4" fillId="6" borderId="0" xfId="0" applyNumberFormat="1" applyFont="1" applyFill="1" applyAlignment="1">
      <alignment horizontal="center" vertical="center"/>
    </xf>
    <xf numFmtId="164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165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166" fontId="7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166" fontId="7" fillId="6" borderId="1" xfId="0" applyNumberFormat="1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 showGridLines="0"/>
  </sheetViews>
  <sheetFormatPr defaultRowHeight="15" outlineLevelRow="0" outlineLevelCol="0" x14ac:dyDescent="55"/>
  <cols>
    <col min="1" max="1" width="14" customWidth="1"/>
    <col min="2" max="4" width="13" customWidth="1"/>
    <col min="5" max="8" width="12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SUM(Ingresos!G5:G28)</f>
      </c>
      <c r="B5" s="6"/>
      <c r="C5" s="6"/>
      <c r="D5" s="7">
        <f>SUM(Gastos!G5:G28)</f>
      </c>
      <c r="E5" s="7"/>
      <c r="F5" s="7"/>
      <c r="G5" s="8">
        <f>SUM(Ingresos!G5:G28)-SUM(Gastos!G5:G28)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spans="1:6" x14ac:dyDescent="0.25">
      <c r="A8" s="10" t="s">
        <v>6</v>
      </c>
      <c r="F8" s="10" t="s">
        <v>7</v>
      </c>
    </row>
    <row r="9" ht="22" customHeight="1" spans="1:8" x14ac:dyDescent="0.25">
      <c r="A9" s="11" t="s">
        <v>8</v>
      </c>
      <c r="B9" s="11" t="s">
        <v>9</v>
      </c>
      <c r="C9" s="11" t="s">
        <v>10</v>
      </c>
      <c r="D9" s="11" t="s">
        <v>11</v>
      </c>
      <c r="E9" s="11" t="s">
        <v>12</v>
      </c>
      <c r="F9" s="11" t="s">
        <v>13</v>
      </c>
      <c r="G9" s="11" t="s">
        <v>14</v>
      </c>
      <c r="H9" s="11" t="s">
        <v>15</v>
      </c>
    </row>
    <row r="10" spans="1:8" x14ac:dyDescent="0.25">
      <c r="A10" s="12" t="s">
        <v>16</v>
      </c>
      <c r="B10" s="13">
        <f>SUMIF(Ingresos!$H:$H,A10,Ingresos!$G:$G)</f>
      </c>
      <c r="C10" s="13">
        <f>SUMIF(Gastos!$H:$H,A10,Gastos!$G:$G)</f>
      </c>
      <c r="D10" s="13">
        <f>B10-C10</f>
      </c>
      <c r="E10" s="14">
        <f>IF(B10=0,0,D10/B10)</f>
      </c>
      <c r="F10" s="12" t="s">
        <v>17</v>
      </c>
      <c r="G10" s="13">
        <f>SUMIF(Gastos!$C:$C,F10,Gastos!$G:$G)</f>
      </c>
      <c r="H10" s="14">
        <f>IF(SUM(Gastos!$G$5:$G$28)=0,0,G10/SUM(Gastos!$G$5:$G$28))</f>
      </c>
    </row>
    <row r="11" spans="1:8" x14ac:dyDescent="0.25">
      <c r="A11" s="15" t="s">
        <v>18</v>
      </c>
      <c r="B11" s="16">
        <f>SUMIF(Ingresos!$H:$H,A11,Ingresos!$G:$G)</f>
      </c>
      <c r="C11" s="16">
        <f>SUMIF(Gastos!$H:$H,A11,Gastos!$G:$G)</f>
      </c>
      <c r="D11" s="16">
        <f>B11-C11</f>
      </c>
      <c r="E11" s="17">
        <f>IF(B11=0,0,D11/B11)</f>
      </c>
      <c r="F11" s="15" t="s">
        <v>19</v>
      </c>
      <c r="G11" s="16">
        <f>SUMIF(Gastos!$C:$C,F11,Gastos!$G:$G)</f>
      </c>
      <c r="H11" s="17">
        <f>IF(SUM(Gastos!$G$5:$G$28)=0,0,G11/SUM(Gastos!$G$5:$G$28))</f>
      </c>
    </row>
    <row r="12" spans="1:8" x14ac:dyDescent="0.25">
      <c r="A12" s="12" t="s">
        <v>20</v>
      </c>
      <c r="B12" s="13">
        <f>SUMIF(Ingresos!$H:$H,A12,Ingresos!$G:$G)</f>
      </c>
      <c r="C12" s="13">
        <f>SUMIF(Gastos!$H:$H,A12,Gastos!$G:$G)</f>
      </c>
      <c r="D12" s="13">
        <f>B12-C12</f>
      </c>
      <c r="E12" s="14">
        <f>IF(B12=0,0,D12/B12)</f>
      </c>
      <c r="F12" s="12" t="s">
        <v>21</v>
      </c>
      <c r="G12" s="13">
        <f>SUMIF(Gastos!$C:$C,F12,Gastos!$G:$G)</f>
      </c>
      <c r="H12" s="14">
        <f>IF(SUM(Gastos!$G$5:$G$28)=0,0,G12/SUM(Gastos!$G$5:$G$28))</f>
      </c>
    </row>
    <row r="13" spans="1:8" x14ac:dyDescent="0.25">
      <c r="A13" s="15" t="s">
        <v>22</v>
      </c>
      <c r="B13" s="16">
        <f>SUMIF(Ingresos!$H:$H,A13,Ingresos!$G:$G)</f>
      </c>
      <c r="C13" s="16">
        <f>SUMIF(Gastos!$H:$H,A13,Gastos!$G:$G)</f>
      </c>
      <c r="D13" s="16">
        <f>B13-C13</f>
      </c>
      <c r="E13" s="17">
        <f>IF(B13=0,0,D13/B13)</f>
      </c>
      <c r="F13" s="15" t="s">
        <v>23</v>
      </c>
      <c r="G13" s="16">
        <f>SUMIF(Gastos!$C:$C,F13,Gastos!$G:$G)</f>
      </c>
      <c r="H13" s="17">
        <f>IF(SUM(Gastos!$G$5:$G$28)=0,0,G13/SUM(Gastos!$G$5:$G$28))</f>
      </c>
    </row>
    <row r="14" spans="1:8" x14ac:dyDescent="0.25">
      <c r="A14" s="12" t="s">
        <v>24</v>
      </c>
      <c r="B14" s="13">
        <f>SUMIF(Ingresos!$H:$H,A14,Ingresos!$G:$G)</f>
      </c>
      <c r="C14" s="13">
        <f>SUMIF(Gastos!$H:$H,A14,Gastos!$G:$G)</f>
      </c>
      <c r="D14" s="13">
        <f>B14-C14</f>
      </c>
      <c r="E14" s="14">
        <f>IF(B14=0,0,D14/B14)</f>
      </c>
      <c r="F14" s="12" t="s">
        <v>25</v>
      </c>
      <c r="G14" s="13">
        <f>SUMIF(Gastos!$C:$C,F14,Gastos!$G:$G)</f>
      </c>
      <c r="H14" s="14">
        <f>IF(SUM(Gastos!$G$5:$G$28)=0,0,G14/SUM(Gastos!$G$5:$G$28))</f>
      </c>
    </row>
    <row r="15" spans="1:8" x14ac:dyDescent="0.25">
      <c r="A15" s="15" t="s">
        <v>26</v>
      </c>
      <c r="B15" s="16">
        <f>SUMIF(Ingresos!$H:$H,A15,Ingresos!$G:$G)</f>
      </c>
      <c r="C15" s="16">
        <f>SUMIF(Gastos!$H:$H,A15,Gastos!$G:$G)</f>
      </c>
      <c r="D15" s="16">
        <f>B15-C15</f>
      </c>
      <c r="E15" s="17">
        <f>IF(B15=0,0,D15/B15)</f>
      </c>
      <c r="F15" s="15" t="s">
        <v>27</v>
      </c>
      <c r="G15" s="16">
        <f>SUMIF(Gastos!$C:$C,F15,Gastos!$G:$G)</f>
      </c>
      <c r="H15" s="17">
        <f>IF(SUM(Gastos!$G$5:$G$28)=0,0,G15/SUM(Gastos!$G$5:$G$28))</f>
      </c>
    </row>
    <row r="16" spans="1:5" x14ac:dyDescent="0.25">
      <c r="A16" s="12" t="s">
        <v>28</v>
      </c>
      <c r="B16" s="13">
        <f>SUMIF(Ingresos!$H:$H,A16,Ingresos!$G:$G)</f>
      </c>
      <c r="C16" s="13">
        <f>SUMIF(Gastos!$H:$H,A16,Gastos!$G:$G)</f>
      </c>
      <c r="D16" s="13">
        <f>B16-C16</f>
      </c>
      <c r="E16" s="14">
        <f>IF(B16=0,0,D16/B16)</f>
      </c>
    </row>
    <row r="17" spans="1:5" x14ac:dyDescent="0.25">
      <c r="A17" s="15" t="s">
        <v>29</v>
      </c>
      <c r="B17" s="16">
        <f>SUMIF(Ingresos!$H:$H,A17,Ingresos!$G:$G)</f>
      </c>
      <c r="C17" s="16">
        <f>SUMIF(Gastos!$H:$H,A17,Gastos!$G:$G)</f>
      </c>
      <c r="D17" s="16">
        <f>B17-C17</f>
      </c>
      <c r="E17" s="17">
        <f>IF(B17=0,0,D17/B17)</f>
      </c>
    </row>
    <row r="18" spans="1:5" x14ac:dyDescent="0.25">
      <c r="A18" s="12" t="s">
        <v>30</v>
      </c>
      <c r="B18" s="13">
        <f>SUMIF(Ingresos!$H:$H,A18,Ingresos!$G:$G)</f>
      </c>
      <c r="C18" s="13">
        <f>SUMIF(Gastos!$H:$H,A18,Gastos!$G:$G)</f>
      </c>
      <c r="D18" s="13">
        <f>B18-C18</f>
      </c>
      <c r="E18" s="14">
        <f>IF(B18=0,0,D18/B18)</f>
      </c>
    </row>
    <row r="19" spans="1:5" x14ac:dyDescent="0.25">
      <c r="A19" s="15" t="s">
        <v>31</v>
      </c>
      <c r="B19" s="16">
        <f>SUMIF(Ingresos!$H:$H,A19,Ingresos!$G:$G)</f>
      </c>
      <c r="C19" s="16">
        <f>SUMIF(Gastos!$H:$H,A19,Gastos!$G:$G)</f>
      </c>
      <c r="D19" s="16">
        <f>B19-C19</f>
      </c>
      <c r="E19" s="17">
        <f>IF(B19=0,0,D19/B19)</f>
      </c>
    </row>
    <row r="20" spans="1:5" x14ac:dyDescent="0.25">
      <c r="A20" s="12" t="s">
        <v>32</v>
      </c>
      <c r="B20" s="13">
        <f>SUMIF(Ingresos!$H:$H,A20,Ingresos!$G:$G)</f>
      </c>
      <c r="C20" s="13">
        <f>SUMIF(Gastos!$H:$H,A20,Gastos!$G:$G)</f>
      </c>
      <c r="D20" s="13">
        <f>B20-C20</f>
      </c>
      <c r="E20" s="14">
        <f>IF(B20=0,0,D20/B20)</f>
      </c>
    </row>
    <row r="21" spans="1:5" x14ac:dyDescent="0.25">
      <c r="A21" s="15" t="s">
        <v>33</v>
      </c>
      <c r="B21" s="16">
        <f>SUMIF(Ingresos!$H:$H,A21,Ingresos!$G:$G)</f>
      </c>
      <c r="C21" s="16">
        <f>SUMIF(Gastos!$H:$H,A21,Gastos!$G:$G)</f>
      </c>
      <c r="D21" s="16">
        <f>B21-C21</f>
      </c>
      <c r="E21" s="17">
        <f>IF(B21=0,0,D21/B21)</f>
      </c>
    </row>
    <row r="22" spans="1:5" x14ac:dyDescent="0.25">
      <c r="A22" s="12" t="s">
        <v>34</v>
      </c>
      <c r="B22" s="13">
        <f>SUM(B10:B21)</f>
      </c>
      <c r="C22" s="13">
        <f>SUM(C10:C21)</f>
      </c>
      <c r="D22" s="13">
        <f>SUM(D10:D21)</f>
      </c>
      <c r="E22" s="12" t="s">
        <v>5</v>
      </c>
    </row>
    <row r="24" spans="1:1" x14ac:dyDescent="0.25">
      <c r="A24" s="18" t="s">
        <v>35</v>
      </c>
    </row>
    <row r="34" spans="1:8" x14ac:dyDescent="0.25">
      <c r="A34" s="19" t="s">
        <v>36</v>
      </c>
      <c r="B34" s="19"/>
      <c r="C34" s="19"/>
      <c r="D34" s="19"/>
      <c r="E34" s="19"/>
      <c r="F34" s="19"/>
      <c r="G34" s="19"/>
      <c r="H34" s="19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34:H34"/>
  </mergeCells>
  <conditionalFormatting sqref="D10:D21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{60900D37-9E0A-44A5-AB3D-E3D6035EF2DA}</x14:id>
        </ext>
      </extLst>
    </cfRule>
  </conditionalFormatting>
  <conditionalFormatting sqref="G10:G15">
    <cfRule type="dataBar" priority="2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{9567EA28-B07C-45D3-8D99-F8C9CA933779}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0900D37-9E0A-44A5-AB3D-E3D6035EF2DA}">
            <x14:dataBar minLength="0" maxLength="100">
              <x14:cfvo type="min"/>
              <x14:cfvo type="max"/>
            </x14:dataBar>
          </x14:cfRule>
          <xm:sqref>D10:D21</xm:sqref>
        </x14:conditionalFormatting>
        <x14:conditionalFormatting xmlns:xm="http://schemas.microsoft.com/office/excel/2006/main">
          <x14:cfRule type="dataBar" id="{9567EA28-B07C-45D3-8D99-F8C9CA933779}">
            <x14:dataBar minLength="0" maxLength="100">
              <x14:cfvo type="min"/>
              <x14:cfvo type="max"/>
            </x14:dataBar>
          </x14:cfRule>
          <xm:sqref>G10:G15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6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37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38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8</v>
      </c>
    </row>
    <row r="5" spans="1:8" x14ac:dyDescent="0.25">
      <c r="A5" s="20">
        <v>46129</v>
      </c>
      <c r="B5" s="12" t="s">
        <v>46</v>
      </c>
      <c r="C5" s="12" t="s">
        <v>47</v>
      </c>
      <c r="D5" s="12" t="s">
        <v>48</v>
      </c>
      <c r="E5" s="21">
        <v>6</v>
      </c>
      <c r="F5" s="13">
        <v>32.4</v>
      </c>
      <c r="G5" s="13">
        <f>E5*F5</f>
      </c>
      <c r="H5" s="12" t="s">
        <v>22</v>
      </c>
    </row>
    <row r="6" spans="1:8" x14ac:dyDescent="0.25">
      <c r="A6" s="22">
        <v>46033</v>
      </c>
      <c r="B6" s="15" t="s">
        <v>46</v>
      </c>
      <c r="C6" s="15" t="s">
        <v>49</v>
      </c>
      <c r="D6" s="15" t="s">
        <v>50</v>
      </c>
      <c r="E6" s="23">
        <v>1</v>
      </c>
      <c r="F6" s="16">
        <v>33.7</v>
      </c>
      <c r="G6" s="16">
        <f>E6*F6</f>
      </c>
      <c r="H6" s="15" t="s">
        <v>16</v>
      </c>
    </row>
    <row r="7" spans="1:8" x14ac:dyDescent="0.25">
      <c r="A7" s="20">
        <v>46122</v>
      </c>
      <c r="B7" s="12" t="s">
        <v>46</v>
      </c>
      <c r="C7" s="12" t="s">
        <v>51</v>
      </c>
      <c r="D7" s="12" t="s">
        <v>50</v>
      </c>
      <c r="E7" s="21">
        <v>5</v>
      </c>
      <c r="F7" s="13">
        <v>47.9</v>
      </c>
      <c r="G7" s="13">
        <f>E7*F7</f>
      </c>
      <c r="H7" s="12" t="s">
        <v>22</v>
      </c>
    </row>
    <row r="8" spans="1:8" x14ac:dyDescent="0.25">
      <c r="A8" s="22">
        <v>46135</v>
      </c>
      <c r="B8" s="15" t="s">
        <v>52</v>
      </c>
      <c r="C8" s="15" t="s">
        <v>53</v>
      </c>
      <c r="D8" s="15" t="s">
        <v>54</v>
      </c>
      <c r="E8" s="23">
        <v>6</v>
      </c>
      <c r="F8" s="16">
        <v>61</v>
      </c>
      <c r="G8" s="16">
        <f>E8*F8</f>
      </c>
      <c r="H8" s="15" t="s">
        <v>22</v>
      </c>
    </row>
    <row r="9" spans="1:8" x14ac:dyDescent="0.25">
      <c r="A9" s="20">
        <v>46113</v>
      </c>
      <c r="B9" s="12" t="s">
        <v>52</v>
      </c>
      <c r="C9" s="12" t="s">
        <v>53</v>
      </c>
      <c r="D9" s="12" t="s">
        <v>55</v>
      </c>
      <c r="E9" s="21">
        <v>8</v>
      </c>
      <c r="F9" s="13">
        <v>25.6</v>
      </c>
      <c r="G9" s="13">
        <f>E9*F9</f>
      </c>
      <c r="H9" s="12" t="s">
        <v>22</v>
      </c>
    </row>
    <row r="10" spans="1:8" x14ac:dyDescent="0.25">
      <c r="A10" s="22">
        <v>46176</v>
      </c>
      <c r="B10" s="15" t="s">
        <v>52</v>
      </c>
      <c r="C10" s="15" t="s">
        <v>56</v>
      </c>
      <c r="D10" s="15" t="s">
        <v>57</v>
      </c>
      <c r="E10" s="23">
        <v>3</v>
      </c>
      <c r="F10" s="16">
        <v>12.8</v>
      </c>
      <c r="G10" s="16">
        <f>E10*F10</f>
      </c>
      <c r="H10" s="15" t="s">
        <v>26</v>
      </c>
    </row>
    <row r="11" spans="1:8" x14ac:dyDescent="0.25">
      <c r="A11" s="20">
        <v>46224</v>
      </c>
      <c r="B11" s="12" t="s">
        <v>52</v>
      </c>
      <c r="C11" s="12" t="s">
        <v>53</v>
      </c>
      <c r="D11" s="12" t="s">
        <v>57</v>
      </c>
      <c r="E11" s="21">
        <v>7</v>
      </c>
      <c r="F11" s="13">
        <v>60.4</v>
      </c>
      <c r="G11" s="13">
        <f>E11*F11</f>
      </c>
      <c r="H11" s="12" t="s">
        <v>28</v>
      </c>
    </row>
    <row r="12" spans="1:8" x14ac:dyDescent="0.25">
      <c r="A12" s="22">
        <v>46115</v>
      </c>
      <c r="B12" s="15" t="s">
        <v>46</v>
      </c>
      <c r="C12" s="15" t="s">
        <v>53</v>
      </c>
      <c r="D12" s="15" t="s">
        <v>48</v>
      </c>
      <c r="E12" s="23">
        <v>4</v>
      </c>
      <c r="F12" s="16">
        <v>36.3</v>
      </c>
      <c r="G12" s="16">
        <f>E12*F12</f>
      </c>
      <c r="H12" s="15" t="s">
        <v>22</v>
      </c>
    </row>
    <row r="13" spans="1:8" x14ac:dyDescent="0.25">
      <c r="A13" s="20">
        <v>46229</v>
      </c>
      <c r="B13" s="12" t="s">
        <v>46</v>
      </c>
      <c r="C13" s="12" t="s">
        <v>49</v>
      </c>
      <c r="D13" s="12" t="s">
        <v>48</v>
      </c>
      <c r="E13" s="21">
        <v>6</v>
      </c>
      <c r="F13" s="13">
        <v>24.8</v>
      </c>
      <c r="G13" s="13">
        <f>E13*F13</f>
      </c>
      <c r="H13" s="12" t="s">
        <v>28</v>
      </c>
    </row>
    <row r="14" spans="1:8" x14ac:dyDescent="0.25">
      <c r="A14" s="22">
        <v>46192</v>
      </c>
      <c r="B14" s="15" t="s">
        <v>52</v>
      </c>
      <c r="C14" s="15" t="s">
        <v>51</v>
      </c>
      <c r="D14" s="15" t="s">
        <v>58</v>
      </c>
      <c r="E14" s="23">
        <v>1</v>
      </c>
      <c r="F14" s="16">
        <v>9.1</v>
      </c>
      <c r="G14" s="16">
        <f>E14*F14</f>
      </c>
      <c r="H14" s="15" t="s">
        <v>26</v>
      </c>
    </row>
    <row r="15" spans="1:8" x14ac:dyDescent="0.25">
      <c r="A15" s="20">
        <v>46190</v>
      </c>
      <c r="B15" s="12" t="s">
        <v>52</v>
      </c>
      <c r="C15" s="12" t="s">
        <v>56</v>
      </c>
      <c r="D15" s="12" t="s">
        <v>48</v>
      </c>
      <c r="E15" s="21">
        <v>3</v>
      </c>
      <c r="F15" s="13">
        <v>39.9</v>
      </c>
      <c r="G15" s="13">
        <f>E15*F15</f>
      </c>
      <c r="H15" s="12" t="s">
        <v>26</v>
      </c>
    </row>
    <row r="16" spans="1:8" x14ac:dyDescent="0.25">
      <c r="A16" s="22">
        <v>46132</v>
      </c>
      <c r="B16" s="15" t="s">
        <v>52</v>
      </c>
      <c r="C16" s="15" t="s">
        <v>51</v>
      </c>
      <c r="D16" s="15" t="s">
        <v>50</v>
      </c>
      <c r="E16" s="23">
        <v>2</v>
      </c>
      <c r="F16" s="16">
        <v>45</v>
      </c>
      <c r="G16" s="16">
        <f>E16*F16</f>
      </c>
      <c r="H16" s="15" t="s">
        <v>22</v>
      </c>
    </row>
    <row r="17" spans="1:8" x14ac:dyDescent="0.25">
      <c r="A17" s="20">
        <v>46026</v>
      </c>
      <c r="B17" s="12" t="s">
        <v>52</v>
      </c>
      <c r="C17" s="12" t="s">
        <v>51</v>
      </c>
      <c r="D17" s="12" t="s">
        <v>57</v>
      </c>
      <c r="E17" s="21">
        <v>2</v>
      </c>
      <c r="F17" s="13">
        <v>24.6</v>
      </c>
      <c r="G17" s="13">
        <f>E17*F17</f>
      </c>
      <c r="H17" s="12" t="s">
        <v>16</v>
      </c>
    </row>
    <row r="18" spans="1:8" x14ac:dyDescent="0.25">
      <c r="A18" s="22">
        <v>46139</v>
      </c>
      <c r="B18" s="15" t="s">
        <v>46</v>
      </c>
      <c r="C18" s="15" t="s">
        <v>59</v>
      </c>
      <c r="D18" s="15" t="s">
        <v>57</v>
      </c>
      <c r="E18" s="23">
        <v>1</v>
      </c>
      <c r="F18" s="16">
        <v>14.9</v>
      </c>
      <c r="G18" s="16">
        <f>E18*F18</f>
      </c>
      <c r="H18" s="15" t="s">
        <v>22</v>
      </c>
    </row>
    <row r="19" spans="1:8" x14ac:dyDescent="0.25">
      <c r="A19" s="20">
        <v>46044</v>
      </c>
      <c r="B19" s="12" t="s">
        <v>52</v>
      </c>
      <c r="C19" s="12" t="s">
        <v>56</v>
      </c>
      <c r="D19" s="12" t="s">
        <v>60</v>
      </c>
      <c r="E19" s="21">
        <v>2</v>
      </c>
      <c r="F19" s="13">
        <v>62.7</v>
      </c>
      <c r="G19" s="13">
        <f>E19*F19</f>
      </c>
      <c r="H19" s="12" t="s">
        <v>16</v>
      </c>
    </row>
    <row r="20" spans="1:8" x14ac:dyDescent="0.25">
      <c r="A20" s="22">
        <v>46097</v>
      </c>
      <c r="B20" s="15" t="s">
        <v>52</v>
      </c>
      <c r="C20" s="15" t="s">
        <v>53</v>
      </c>
      <c r="D20" s="15" t="s">
        <v>55</v>
      </c>
      <c r="E20" s="23">
        <v>3</v>
      </c>
      <c r="F20" s="16">
        <v>26.3</v>
      </c>
      <c r="G20" s="16">
        <f>E20*F20</f>
      </c>
      <c r="H20" s="15" t="s">
        <v>20</v>
      </c>
    </row>
    <row r="21" spans="1:8" x14ac:dyDescent="0.25">
      <c r="A21" s="20">
        <v>46037</v>
      </c>
      <c r="B21" s="12" t="s">
        <v>46</v>
      </c>
      <c r="C21" s="12" t="s">
        <v>47</v>
      </c>
      <c r="D21" s="12" t="s">
        <v>48</v>
      </c>
      <c r="E21" s="21">
        <v>3</v>
      </c>
      <c r="F21" s="13">
        <v>58.1</v>
      </c>
      <c r="G21" s="13">
        <f>E21*F21</f>
      </c>
      <c r="H21" s="12" t="s">
        <v>16</v>
      </c>
    </row>
    <row r="22" spans="1:8" x14ac:dyDescent="0.25">
      <c r="A22" s="22">
        <v>46160</v>
      </c>
      <c r="B22" s="15" t="s">
        <v>52</v>
      </c>
      <c r="C22" s="15" t="s">
        <v>51</v>
      </c>
      <c r="D22" s="15" t="s">
        <v>58</v>
      </c>
      <c r="E22" s="23">
        <v>1</v>
      </c>
      <c r="F22" s="16">
        <v>22</v>
      </c>
      <c r="G22" s="16">
        <f>E22*F22</f>
      </c>
      <c r="H22" s="15" t="s">
        <v>24</v>
      </c>
    </row>
    <row r="23" spans="1:8" x14ac:dyDescent="0.25">
      <c r="A23" s="20">
        <v>46098</v>
      </c>
      <c r="B23" s="12" t="s">
        <v>46</v>
      </c>
      <c r="C23" s="12" t="s">
        <v>61</v>
      </c>
      <c r="D23" s="12" t="s">
        <v>60</v>
      </c>
      <c r="E23" s="21">
        <v>4</v>
      </c>
      <c r="F23" s="13">
        <v>58.1</v>
      </c>
      <c r="G23" s="13">
        <f>E23*F23</f>
      </c>
      <c r="H23" s="12" t="s">
        <v>20</v>
      </c>
    </row>
    <row r="24" spans="1:8" x14ac:dyDescent="0.25">
      <c r="A24" s="22">
        <v>46127</v>
      </c>
      <c r="B24" s="15" t="s">
        <v>46</v>
      </c>
      <c r="C24" s="15" t="s">
        <v>49</v>
      </c>
      <c r="D24" s="15" t="s">
        <v>50</v>
      </c>
      <c r="E24" s="23">
        <v>2</v>
      </c>
      <c r="F24" s="16">
        <v>18.2</v>
      </c>
      <c r="G24" s="16">
        <f>E24*F24</f>
      </c>
      <c r="H24" s="15" t="s">
        <v>22</v>
      </c>
    </row>
    <row r="25" spans="1:8" x14ac:dyDescent="0.25">
      <c r="A25" s="20">
        <v>46125</v>
      </c>
      <c r="B25" s="12" t="s">
        <v>52</v>
      </c>
      <c r="C25" s="12" t="s">
        <v>53</v>
      </c>
      <c r="D25" s="12" t="s">
        <v>48</v>
      </c>
      <c r="E25" s="21">
        <v>4</v>
      </c>
      <c r="F25" s="13">
        <v>34</v>
      </c>
      <c r="G25" s="13">
        <f>E25*F25</f>
      </c>
      <c r="H25" s="12" t="s">
        <v>22</v>
      </c>
    </row>
    <row r="26" spans="1:8" x14ac:dyDescent="0.25">
      <c r="A26" s="22">
        <v>46216</v>
      </c>
      <c r="B26" s="15" t="s">
        <v>46</v>
      </c>
      <c r="C26" s="15" t="s">
        <v>56</v>
      </c>
      <c r="D26" s="15" t="s">
        <v>62</v>
      </c>
      <c r="E26" s="23">
        <v>5</v>
      </c>
      <c r="F26" s="16">
        <v>58.2</v>
      </c>
      <c r="G26" s="16">
        <f>E26*F26</f>
      </c>
      <c r="H26" s="15" t="s">
        <v>28</v>
      </c>
    </row>
    <row r="27" spans="1:8" x14ac:dyDescent="0.25">
      <c r="A27" s="20">
        <v>46093</v>
      </c>
      <c r="B27" s="12" t="s">
        <v>52</v>
      </c>
      <c r="C27" s="12" t="s">
        <v>61</v>
      </c>
      <c r="D27" s="12" t="s">
        <v>58</v>
      </c>
      <c r="E27" s="21">
        <v>8</v>
      </c>
      <c r="F27" s="13">
        <v>52.2</v>
      </c>
      <c r="G27" s="13">
        <f>E27*F27</f>
      </c>
      <c r="H27" s="12" t="s">
        <v>20</v>
      </c>
    </row>
    <row r="28" spans="1:8" x14ac:dyDescent="0.25">
      <c r="A28" s="22">
        <v>46106</v>
      </c>
      <c r="B28" s="15" t="s">
        <v>52</v>
      </c>
      <c r="C28" s="15" t="s">
        <v>51</v>
      </c>
      <c r="D28" s="15" t="s">
        <v>54</v>
      </c>
      <c r="E28" s="23">
        <v>3</v>
      </c>
      <c r="F28" s="16">
        <v>40.8</v>
      </c>
      <c r="G28" s="16">
        <f>E28*F28</f>
      </c>
      <c r="H28" s="15" t="s">
        <v>20</v>
      </c>
    </row>
    <row r="30" spans="1:1" x14ac:dyDescent="0.25">
      <c r="A30" s="18" t="s">
        <v>63</v>
      </c>
    </row>
    <row r="32" spans="1:8" x14ac:dyDescent="0.25">
      <c r="A32" s="19" t="s">
        <v>64</v>
      </c>
      <c r="B32" s="19"/>
      <c r="C32" s="19"/>
      <c r="D32" s="19"/>
      <c r="E32" s="19"/>
      <c r="F32" s="19"/>
      <c r="G32" s="19"/>
      <c r="H32" s="19"/>
    </row>
  </sheetData>
  <autoFilter ref="A4:H28"/>
  <mergeCells count="3">
    <mergeCell ref="A1:H1"/>
    <mergeCell ref="A2:H2"/>
    <mergeCell ref="A32:H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15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65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66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13</v>
      </c>
      <c r="D4" s="11" t="s">
        <v>42</v>
      </c>
      <c r="E4" s="11" t="s">
        <v>43</v>
      </c>
      <c r="F4" s="11" t="s">
        <v>67</v>
      </c>
      <c r="G4" s="11" t="s">
        <v>45</v>
      </c>
      <c r="H4" s="11" t="s">
        <v>8</v>
      </c>
    </row>
    <row r="5" spans="1:8" x14ac:dyDescent="0.25">
      <c r="A5" s="20">
        <v>46096</v>
      </c>
      <c r="B5" s="12" t="s">
        <v>52</v>
      </c>
      <c r="C5" s="12" t="s">
        <v>19</v>
      </c>
      <c r="D5" s="12" t="s">
        <v>68</v>
      </c>
      <c r="E5" s="21">
        <v>1</v>
      </c>
      <c r="F5" s="13">
        <v>48.49</v>
      </c>
      <c r="G5" s="13">
        <f>E5*F5</f>
      </c>
      <c r="H5" s="12" t="s">
        <v>20</v>
      </c>
    </row>
    <row r="6" spans="1:8" x14ac:dyDescent="0.25">
      <c r="A6" s="22">
        <v>46090</v>
      </c>
      <c r="B6" s="15" t="s">
        <v>52</v>
      </c>
      <c r="C6" s="15" t="s">
        <v>27</v>
      </c>
      <c r="D6" s="15" t="s">
        <v>69</v>
      </c>
      <c r="E6" s="23">
        <v>1</v>
      </c>
      <c r="F6" s="16">
        <v>33.75</v>
      </c>
      <c r="G6" s="16">
        <f>E6*F6</f>
      </c>
      <c r="H6" s="15" t="s">
        <v>20</v>
      </c>
    </row>
    <row r="7" spans="1:8" x14ac:dyDescent="0.25">
      <c r="A7" s="20">
        <v>46107</v>
      </c>
      <c r="B7" s="12" t="s">
        <v>52</v>
      </c>
      <c r="C7" s="12" t="s">
        <v>17</v>
      </c>
      <c r="D7" s="12" t="s">
        <v>70</v>
      </c>
      <c r="E7" s="21">
        <v>1</v>
      </c>
      <c r="F7" s="13">
        <v>241.06</v>
      </c>
      <c r="G7" s="13">
        <f>E7*F7</f>
      </c>
      <c r="H7" s="12" t="s">
        <v>20</v>
      </c>
    </row>
    <row r="8" spans="1:8" x14ac:dyDescent="0.25">
      <c r="A8" s="22">
        <v>46065</v>
      </c>
      <c r="B8" s="15" t="s">
        <v>52</v>
      </c>
      <c r="C8" s="15" t="s">
        <v>27</v>
      </c>
      <c r="D8" s="15" t="s">
        <v>71</v>
      </c>
      <c r="E8" s="23">
        <v>1</v>
      </c>
      <c r="F8" s="16">
        <v>330.59</v>
      </c>
      <c r="G8" s="16">
        <f>E8*F8</f>
      </c>
      <c r="H8" s="15" t="s">
        <v>18</v>
      </c>
    </row>
    <row r="9" spans="1:8" x14ac:dyDescent="0.25">
      <c r="A9" s="20">
        <v>46106</v>
      </c>
      <c r="B9" s="12" t="s">
        <v>52</v>
      </c>
      <c r="C9" s="12" t="s">
        <v>17</v>
      </c>
      <c r="D9" s="12" t="s">
        <v>69</v>
      </c>
      <c r="E9" s="21">
        <v>1</v>
      </c>
      <c r="F9" s="13">
        <v>372.44</v>
      </c>
      <c r="G9" s="13">
        <f>E9*F9</f>
      </c>
      <c r="H9" s="12" t="s">
        <v>20</v>
      </c>
    </row>
    <row r="10" spans="1:8" x14ac:dyDescent="0.25">
      <c r="A10" s="22">
        <v>46132</v>
      </c>
      <c r="B10" s="15" t="s">
        <v>52</v>
      </c>
      <c r="C10" s="15" t="s">
        <v>19</v>
      </c>
      <c r="D10" s="15" t="s">
        <v>70</v>
      </c>
      <c r="E10" s="23">
        <v>1</v>
      </c>
      <c r="F10" s="16">
        <v>161.12</v>
      </c>
      <c r="G10" s="16">
        <f>E10*F10</f>
      </c>
      <c r="H10" s="15" t="s">
        <v>22</v>
      </c>
    </row>
    <row r="11" spans="1:8" x14ac:dyDescent="0.25">
      <c r="A11" s="20">
        <v>46072</v>
      </c>
      <c r="B11" s="12" t="s">
        <v>52</v>
      </c>
      <c r="C11" s="12" t="s">
        <v>27</v>
      </c>
      <c r="D11" s="12" t="s">
        <v>68</v>
      </c>
      <c r="E11" s="21">
        <v>1</v>
      </c>
      <c r="F11" s="13">
        <v>117.28</v>
      </c>
      <c r="G11" s="13">
        <f>E11*F11</f>
      </c>
      <c r="H11" s="12" t="s">
        <v>18</v>
      </c>
    </row>
    <row r="12" spans="1:8" x14ac:dyDescent="0.25">
      <c r="A12" s="22">
        <v>46064</v>
      </c>
      <c r="B12" s="15" t="s">
        <v>52</v>
      </c>
      <c r="C12" s="15" t="s">
        <v>25</v>
      </c>
      <c r="D12" s="15" t="s">
        <v>69</v>
      </c>
      <c r="E12" s="23">
        <v>1</v>
      </c>
      <c r="F12" s="16">
        <v>212.25</v>
      </c>
      <c r="G12" s="16">
        <f>E12*F12</f>
      </c>
      <c r="H12" s="15" t="s">
        <v>18</v>
      </c>
    </row>
    <row r="13" spans="1:8" x14ac:dyDescent="0.25">
      <c r="A13" s="20">
        <v>46126</v>
      </c>
      <c r="B13" s="12" t="s">
        <v>52</v>
      </c>
      <c r="C13" s="12" t="s">
        <v>23</v>
      </c>
      <c r="D13" s="12" t="s">
        <v>72</v>
      </c>
      <c r="E13" s="21">
        <v>1</v>
      </c>
      <c r="F13" s="13">
        <v>313.9</v>
      </c>
      <c r="G13" s="13">
        <f>E13*F13</f>
      </c>
      <c r="H13" s="12" t="s">
        <v>22</v>
      </c>
    </row>
    <row r="14" spans="1:8" x14ac:dyDescent="0.25">
      <c r="A14" s="22">
        <v>46139</v>
      </c>
      <c r="B14" s="15" t="s">
        <v>52</v>
      </c>
      <c r="C14" s="15" t="s">
        <v>23</v>
      </c>
      <c r="D14" s="15" t="s">
        <v>72</v>
      </c>
      <c r="E14" s="23">
        <v>1</v>
      </c>
      <c r="F14" s="16">
        <v>177.65</v>
      </c>
      <c r="G14" s="16">
        <f>E14*F14</f>
      </c>
      <c r="H14" s="15" t="s">
        <v>22</v>
      </c>
    </row>
    <row r="15" spans="1:8" x14ac:dyDescent="0.25">
      <c r="A15" s="20">
        <v>46077</v>
      </c>
      <c r="B15" s="12" t="s">
        <v>52</v>
      </c>
      <c r="C15" s="12" t="s">
        <v>21</v>
      </c>
      <c r="D15" s="12" t="s">
        <v>69</v>
      </c>
      <c r="E15" s="21">
        <v>1</v>
      </c>
      <c r="F15" s="13">
        <v>50.31</v>
      </c>
      <c r="G15" s="13">
        <f>E15*F15</f>
      </c>
      <c r="H15" s="12" t="s">
        <v>18</v>
      </c>
    </row>
    <row r="16" spans="1:8" x14ac:dyDescent="0.25">
      <c r="A16" s="22">
        <v>46115</v>
      </c>
      <c r="B16" s="15" t="s">
        <v>52</v>
      </c>
      <c r="C16" s="15" t="s">
        <v>19</v>
      </c>
      <c r="D16" s="15" t="s">
        <v>69</v>
      </c>
      <c r="E16" s="23">
        <v>1</v>
      </c>
      <c r="F16" s="16">
        <v>211.38</v>
      </c>
      <c r="G16" s="16">
        <f>E16*F16</f>
      </c>
      <c r="H16" s="15" t="s">
        <v>22</v>
      </c>
    </row>
    <row r="17" spans="1:8" x14ac:dyDescent="0.25">
      <c r="A17" s="20">
        <v>46118</v>
      </c>
      <c r="B17" s="12" t="s">
        <v>52</v>
      </c>
      <c r="C17" s="12" t="s">
        <v>23</v>
      </c>
      <c r="D17" s="12" t="s">
        <v>68</v>
      </c>
      <c r="E17" s="21">
        <v>1</v>
      </c>
      <c r="F17" s="13">
        <v>156.05</v>
      </c>
      <c r="G17" s="13">
        <f>E17*F17</f>
      </c>
      <c r="H17" s="12" t="s">
        <v>22</v>
      </c>
    </row>
    <row r="18" spans="1:8" x14ac:dyDescent="0.25">
      <c r="A18" s="22">
        <v>46093</v>
      </c>
      <c r="B18" s="15" t="s">
        <v>52</v>
      </c>
      <c r="C18" s="15" t="s">
        <v>25</v>
      </c>
      <c r="D18" s="15" t="s">
        <v>70</v>
      </c>
      <c r="E18" s="23">
        <v>1</v>
      </c>
      <c r="F18" s="16">
        <v>301.95</v>
      </c>
      <c r="G18" s="16">
        <f>E18*F18</f>
      </c>
      <c r="H18" s="15" t="s">
        <v>20</v>
      </c>
    </row>
    <row r="19" spans="1:8" x14ac:dyDescent="0.25">
      <c r="A19" s="20">
        <v>46144</v>
      </c>
      <c r="B19" s="12" t="s">
        <v>52</v>
      </c>
      <c r="C19" s="12" t="s">
        <v>23</v>
      </c>
      <c r="D19" s="12" t="s">
        <v>71</v>
      </c>
      <c r="E19" s="21">
        <v>1</v>
      </c>
      <c r="F19" s="13">
        <v>95.85</v>
      </c>
      <c r="G19" s="13">
        <f>E19*F19</f>
      </c>
      <c r="H19" s="12" t="s">
        <v>24</v>
      </c>
    </row>
    <row r="20" spans="1:8" x14ac:dyDescent="0.25">
      <c r="A20" s="22">
        <v>46045</v>
      </c>
      <c r="B20" s="15" t="s">
        <v>52</v>
      </c>
      <c r="C20" s="15" t="s">
        <v>23</v>
      </c>
      <c r="D20" s="15" t="s">
        <v>72</v>
      </c>
      <c r="E20" s="23">
        <v>1</v>
      </c>
      <c r="F20" s="16">
        <v>136.98</v>
      </c>
      <c r="G20" s="16">
        <f>E20*F20</f>
      </c>
      <c r="H20" s="15" t="s">
        <v>16</v>
      </c>
    </row>
    <row r="21" spans="1:8" x14ac:dyDescent="0.25">
      <c r="A21" s="20">
        <v>46046</v>
      </c>
      <c r="B21" s="12" t="s">
        <v>52</v>
      </c>
      <c r="C21" s="12" t="s">
        <v>25</v>
      </c>
      <c r="D21" s="12" t="s">
        <v>72</v>
      </c>
      <c r="E21" s="21">
        <v>1</v>
      </c>
      <c r="F21" s="13">
        <v>371.5</v>
      </c>
      <c r="G21" s="13">
        <f>E21*F21</f>
      </c>
      <c r="H21" s="12" t="s">
        <v>16</v>
      </c>
    </row>
    <row r="22" spans="1:8" x14ac:dyDescent="0.25">
      <c r="A22" s="22">
        <v>46074</v>
      </c>
      <c r="B22" s="15" t="s">
        <v>52</v>
      </c>
      <c r="C22" s="15" t="s">
        <v>23</v>
      </c>
      <c r="D22" s="15" t="s">
        <v>70</v>
      </c>
      <c r="E22" s="23">
        <v>1</v>
      </c>
      <c r="F22" s="16">
        <v>78.91</v>
      </c>
      <c r="G22" s="16">
        <f>E22*F22</f>
      </c>
      <c r="H22" s="15" t="s">
        <v>18</v>
      </c>
    </row>
    <row r="23" spans="1:8" x14ac:dyDescent="0.25">
      <c r="A23" s="20">
        <v>46099</v>
      </c>
      <c r="B23" s="12" t="s">
        <v>52</v>
      </c>
      <c r="C23" s="12" t="s">
        <v>23</v>
      </c>
      <c r="D23" s="12" t="s">
        <v>69</v>
      </c>
      <c r="E23" s="21">
        <v>1</v>
      </c>
      <c r="F23" s="13">
        <v>89.13</v>
      </c>
      <c r="G23" s="13">
        <f>E23*F23</f>
      </c>
      <c r="H23" s="12" t="s">
        <v>20</v>
      </c>
    </row>
    <row r="24" spans="1:8" x14ac:dyDescent="0.25">
      <c r="A24" s="22">
        <v>46181</v>
      </c>
      <c r="B24" s="15" t="s">
        <v>52</v>
      </c>
      <c r="C24" s="15" t="s">
        <v>17</v>
      </c>
      <c r="D24" s="15" t="s">
        <v>73</v>
      </c>
      <c r="E24" s="23">
        <v>1</v>
      </c>
      <c r="F24" s="16">
        <v>48.57</v>
      </c>
      <c r="G24" s="16">
        <f>E24*F24</f>
      </c>
      <c r="H24" s="15" t="s">
        <v>26</v>
      </c>
    </row>
    <row r="32" spans="1:8" x14ac:dyDescent="0.25">
      <c r="A32" s="19" t="s">
        <v>64</v>
      </c>
      <c r="B32" s="19"/>
      <c r="C32" s="19"/>
      <c r="D32" s="19"/>
      <c r="E32" s="19"/>
      <c r="F32" s="19"/>
      <c r="G32" s="19"/>
      <c r="H32" s="19"/>
    </row>
  </sheetData>
  <mergeCells count="3">
    <mergeCell ref="A1:H1"/>
    <mergeCell ref="A2:H2"/>
    <mergeCell ref="A32:H32"/>
  </mergeCells>
  <dataValidations count="1">
    <dataValidation type="list" allowBlank="1" sqref="C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Panel</vt:lpstr>
      <vt:lpstr>Ingresos</vt:lpstr>
      <vt:lpstr>Gastos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