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<sst xmlns="http://schemas.openxmlformats.org/spreadsheetml/2006/main" count="129" uniqueCount="91">
  <si>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TIENDA DE ROPA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</si>
  <si>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</si>
  <si>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</si>
  <si>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</si>
  <si>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</si>
  <si>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</si>
  <si>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</si>
  <si>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</si>
  <si>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</si>
  <si>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</si>
  <si>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</si>
  <si>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</si>
  <si>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Vestido</t>
  </si>
  <si>
    <t>08:30</t>
  </si>
  <si>
    <t>B001-10001</t>
  </si>
  <si>
    <t>Yape</t>
  </si>
  <si>
    <t>Jean</t>
  </si>
  <si>
    <t>09:15</t>
  </si>
  <si>
    <t>B001-10002</t>
  </si>
  <si>
    <t>Plin</t>
  </si>
  <si>
    <t>Casaca</t>
  </si>
  <si>
    <t>09:45</t>
  </si>
  <si>
    <t>B001-10003</t>
  </si>
  <si>
    <t>10:20</t>
  </si>
  <si>
    <t>B001-10004</t>
  </si>
  <si>
    <t>Tarjeta</t>
  </si>
  <si>
    <t>Chompa</t>
  </si>
  <si>
    <t>11:00</t>
  </si>
  <si>
    <t>B001-10005</t>
  </si>
  <si>
    <t>11:40</t>
  </si>
  <si>
    <t>B001-10006</t>
  </si>
  <si>
    <t>Short</t>
  </si>
  <si>
    <t>12:15</t>
  </si>
  <si>
    <t>B001-10007</t>
  </si>
  <si>
    <t>12:50</t>
  </si>
  <si>
    <t>B001-10008</t>
  </si>
  <si>
    <t>Transferencia</t>
  </si>
  <si>
    <t>13:30</t>
  </si>
  <si>
    <t>B001-10009</t>
  </si>
  <si>
    <t>Ropa deportiva</t>
  </si>
  <si>
    <t>14:10</t>
  </si>
  <si>
    <t>B001-10010</t>
  </si>
  <si>
    <t>Polo básico</t>
  </si>
  <si>
    <t>15:00</t>
  </si>
  <si>
    <t>B001-10011</t>
  </si>
  <si>
    <t>15:30</t>
  </si>
  <si>
    <t>B001-10012</t>
  </si>
  <si>
    <t>Camisa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</si>
  <si>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</si>
  <si>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</si>
  <si>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</si>
  <si>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</si>
  <si>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</si>
  <si>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</si>
  <si>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</si>
  <si>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</si>
  <si>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</si>
  <si>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</si>
  <si>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</si>
  <si>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</si>
  <si>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</si>
  <si>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</si>
  <si>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</si>
  <si>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</si>
  <si>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</si>
  <si>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</si>
  <si>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</si>
  <si>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</si>
  <si>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</si>
  <si>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</si>
  <si>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</si>
  <si>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</si>
  <si>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</si>
  <si>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</si>
  <si>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</si>
  <si>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</si>
  <si>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</si>
  <si>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</si>
  <si>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</si>
  <si>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TIENDA DE ROPA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</si>
  <si>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</si>
  <si>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</si>
  <si>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</si>
  <si>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</si>
  <si>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</si>
  <si>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</si>
  <si>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</si>
  <si>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</si>
  <si>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</si>
  <si>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</si>
  <si>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Tienda de Ropa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</si>
</sst>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28.18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22.84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34.44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12</v>
      </c>
      <c r="E8" s="7">
        <v>31.48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4.2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26</v>
      </c>
      <c r="E10" s="7">
        <v>12.24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26.1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20</v>
      </c>
      <c r="E12" s="7">
        <v>40.06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26</v>
      </c>
      <c r="E13" s="5">
        <v>52.44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29.95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28.83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16</v>
      </c>
      <c r="E16" s="7">
        <v>25.19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47</v>
      </c>
      <c r="E17" s="5">
        <v>48.67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12</v>
      </c>
      <c r="E18" s="7">
        <v>37.59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25</v>
      </c>
      <c r="D19" s="4" t="s">
        <v>47</v>
      </c>
      <c r="E19" s="5">
        <v>42.62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47</v>
      </c>
      <c r="E20" s="7">
        <v>15.34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31</v>
      </c>
      <c r="E21" s="5">
        <v>51.22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42</v>
      </c>
      <c r="E22" s="7">
        <v>18.63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12</v>
      </c>
      <c r="E23" s="5">
        <v>27.5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12</v>
      </c>
      <c r="E24" s="7">
        <v>36.09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0</v>
      </c>
      <c r="C5" s="5">
        <f>200*B5</f>
      </c>
    </row>
    <row r="6" spans="1:3" x14ac:dyDescent="0.25">
      <c r="A6" s="6" t="s">
        <v>68</v>
      </c>
      <c r="B6" s="9">
        <v>1</v>
      </c>
      <c r="C6" s="7">
        <f>100*B6</f>
      </c>
    </row>
    <row r="7" spans="1:3" x14ac:dyDescent="0.25">
      <c r="A7" s="4" t="s">
        <v>69</v>
      </c>
      <c r="B7" s="8">
        <v>1</v>
      </c>
      <c r="C7" s="5">
        <f>50*B7</f>
      </c>
    </row>
    <row r="8" spans="1:3" x14ac:dyDescent="0.25">
      <c r="A8" s="6" t="s">
        <v>70</v>
      </c>
      <c r="B8" s="9">
        <v>15</v>
      </c>
      <c r="C8" s="7">
        <f>20*B8</f>
      </c>
    </row>
    <row r="9" spans="1:3" x14ac:dyDescent="0.25">
      <c r="A9" s="4" t="s">
        <v>71</v>
      </c>
      <c r="B9" s="8">
        <v>3</v>
      </c>
      <c r="C9" s="5">
        <f>10*B9</f>
      </c>
    </row>
    <row r="10" spans="1:3" x14ac:dyDescent="0.25">
      <c r="A10" s="6" t="s">
        <v>72</v>
      </c>
      <c r="B10" s="9">
        <v>12</v>
      </c>
      <c r="C10" s="7">
        <f>5*B10</f>
      </c>
    </row>
    <row r="11" spans="1:3" x14ac:dyDescent="0.25">
      <c r="A11" s="4" t="s">
        <v>73</v>
      </c>
      <c r="B11" s="8">
        <v>0</v>
      </c>
      <c r="C11" s="5">
        <f>2*B11</f>
      </c>
    </row>
    <row r="12" spans="1:3" x14ac:dyDescent="0.25">
      <c r="A12" s="6" t="s">
        <v>74</v>
      </c>
      <c r="B12" s="9">
        <v>8</v>
      </c>
      <c r="C12" s="7">
        <f>1*B12</f>
      </c>
    </row>
    <row r="13" spans="1:3" x14ac:dyDescent="0.25">
      <c r="A13" s="4" t="s">
        <v>75</v>
      </c>
      <c r="B13" s="8">
        <v>10</v>
      </c>
      <c r="C13" s="5">
        <f>0.5*B13</f>
      </c>
    </row>
    <row r="14" spans="1:3" x14ac:dyDescent="0.25">
      <c r="A14" s="6" t="s">
        <v>76</v>
      </c>
      <c r="B14" s="9">
        <v>11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{79F28377-9DC2-4971-8C19-579EF708691C}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F28377-9DC2-4971-8C19-579EF708691C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