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atios Financieros" state="visible" r:id="rId4"/>
  </sheets>
  <calcPr calcId="171027"/>
</workbook>
</file>

<file path=xl/sharedStrings.xml><?xml version="1.0" encoding="utf-8"?>
<sst xmlns="http://schemas.openxmlformats.org/spreadsheetml/2006/main" count="36" uniqueCount="26">
  <si>
    <t>ANÁLISIS DE RATIOS FINANCIEROS — MERCADO DE ABASTOS</t>
  </si>
  <si>
    <t>Indicadores clave de salud financiera</t>
  </si>
  <si>
    <t>Razón Financiera</t>
  </si>
  <si>
    <t>Fórmula</t>
  </si>
  <si>
    <t>Tu Empresa</t>
  </si>
  <si>
    <t>Promedio Sector</t>
  </si>
  <si>
    <t>Estado</t>
  </si>
  <si>
    <t>Meta</t>
  </si>
  <si>
    <t>Razón Corriente</t>
  </si>
  <si>
    <t>⚠ Revisar</t>
  </si>
  <si>
    <t>Prueba Ácida</t>
  </si>
  <si>
    <t>Capital de Trabajo</t>
  </si>
  <si>
    <t>✅ Cumple</t>
  </si>
  <si>
    <t>Endeutamiento Total</t>
  </si>
  <si>
    <t>Endeutamiento LP</t>
  </si>
  <si>
    <t>ROA</t>
  </si>
  <si>
    <t>ROE</t>
  </si>
  <si>
    <t>Margen Neto</t>
  </si>
  <si>
    <t>Margen Bruto</t>
  </si>
  <si>
    <t>Rotación de Inventarios</t>
  </si>
  <si>
    <t>Días de Inventario</t>
  </si>
  <si>
    <t>Ciclo de Conversión</t>
  </si>
  <si>
    <t>RAZONES EN META</t>
  </si>
  <si>
    <t>FUERA DE META</t>
  </si>
  <si>
    <t>SCORE FINANCIERO</t>
  </si>
  <si>
    <t>Mercado de Abastos · Ratios Financieros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</si>
</sst>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10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FFFFFF"/>
      <sz val="9"/>
      <name val="Calibri"/>
    </font>
    <font>
      <b/>
      <color rgb="FF16A34A"/>
      <sz val="16"/>
      <name val="Calibri"/>
    </font>
    <font>
      <b/>
      <color rgb="FFDC2626"/>
      <sz val="16"/>
      <name val="Calibri"/>
    </font>
    <font>
      <b/>
      <color rgb="FF2563EB"/>
      <sz val="16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DC2626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165" fontId="4" fillId="4" borderId="1" xfId="0" applyNumberFormat="1" applyFont="1" applyFill="1" applyBorder="1" applyAlignment="1">
      <alignment horizontal="right" vertical="center"/>
    </xf>
    <xf numFmtId="165" fontId="4" fillId="0" borderId="1" xfId="0" applyNumberFormat="1" applyFont="1" applyBorder="1" applyAlignment="1">
      <alignment horizontal="right" vertical="center"/>
    </xf>
    <xf numFmtId="0" fontId="5" fillId="3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3" fontId="6" fillId="4" borderId="0" xfId="0" applyNumberFormat="1" applyFont="1" applyFill="1" applyAlignment="1">
      <alignment horizontal="center" vertical="center"/>
    </xf>
    <xf numFmtId="3" fontId="7" fillId="4" borderId="0" xfId="0" applyNumberFormat="1" applyFont="1" applyFill="1" applyAlignment="1">
      <alignment horizontal="center" vertical="center"/>
    </xf>
    <xf numFmtId="165" fontId="8" fillId="4" borderId="0" xfId="0" applyNumberFormat="1" applyFont="1" applyFill="1" applyAlignment="1">
      <alignment horizontal="center" vertical="center"/>
    </xf>
    <xf numFmtId="0" fontId="9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2"/>
  <sheetViews>
    <sheetView workbookViewId="0" showGridLines="0"/>
  </sheetViews>
  <sheetFormatPr defaultRowHeight="15" outlineLevelRow="0" outlineLevelCol="0" x14ac:dyDescent="55"/>
  <cols>
    <col min="1" max="1" width="34" customWidth="1"/>
    <col min="2" max="6" width="14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ht="22" customHeight="1" spans="1:6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spans="1:6" x14ac:dyDescent="0.25">
      <c r="A5" s="4" t="s">
        <v>8</v>
      </c>
      <c r="B5" s="4"/>
      <c r="C5" s="5">
        <v>1.484771213906245</v>
      </c>
      <c r="D5" s="5">
        <v>1.8</v>
      </c>
      <c r="E5" s="4" t="s">
        <v>9</v>
      </c>
      <c r="F5" s="5">
        <v>1.8</v>
      </c>
    </row>
    <row r="6" spans="1:6" x14ac:dyDescent="0.25">
      <c r="A6" s="6" t="s">
        <v>10</v>
      </c>
      <c r="B6" s="6"/>
      <c r="C6" s="7">
        <v>0.9020053692637037</v>
      </c>
      <c r="D6" s="7">
        <v>1.2</v>
      </c>
      <c r="E6" s="6" t="s">
        <v>9</v>
      </c>
      <c r="F6" s="7">
        <v>1.2</v>
      </c>
    </row>
    <row r="7" spans="1:6" x14ac:dyDescent="0.25">
      <c r="A7" s="4" t="s">
        <v>11</v>
      </c>
      <c r="B7" s="4"/>
      <c r="C7" s="5">
        <v>22529.435892370268</v>
      </c>
      <c r="D7" s="5">
        <v>20000</v>
      </c>
      <c r="E7" s="4" t="s">
        <v>12</v>
      </c>
      <c r="F7" s="5">
        <v>20000</v>
      </c>
    </row>
    <row r="8" spans="1:6" x14ac:dyDescent="0.25">
      <c r="A8" s="6" t="s">
        <v>13</v>
      </c>
      <c r="B8" s="6"/>
      <c r="C8" s="8">
        <v>0.3679913316238631</v>
      </c>
      <c r="D8" s="8">
        <v>0.4</v>
      </c>
      <c r="E8" s="6" t="s">
        <v>12</v>
      </c>
      <c r="F8" s="8">
        <v>0.4</v>
      </c>
    </row>
    <row r="9" spans="1:6" x14ac:dyDescent="0.25">
      <c r="A9" s="4" t="s">
        <v>14</v>
      </c>
      <c r="B9" s="4"/>
      <c r="C9" s="9">
        <v>0.10717546525745442</v>
      </c>
      <c r="D9" s="9">
        <v>0.2</v>
      </c>
      <c r="E9" s="4" t="s">
        <v>12</v>
      </c>
      <c r="F9" s="9">
        <v>0.2</v>
      </c>
    </row>
    <row r="10" spans="1:6" x14ac:dyDescent="0.25">
      <c r="A10" s="6" t="s">
        <v>15</v>
      </c>
      <c r="B10" s="6"/>
      <c r="C10" s="8">
        <v>0.09675331254804195</v>
      </c>
      <c r="D10" s="8">
        <v>0.1</v>
      </c>
      <c r="E10" s="6" t="s">
        <v>9</v>
      </c>
      <c r="F10" s="8">
        <v>0.1</v>
      </c>
    </row>
    <row r="11" spans="1:6" x14ac:dyDescent="0.25">
      <c r="A11" s="4" t="s">
        <v>16</v>
      </c>
      <c r="B11" s="4"/>
      <c r="C11" s="9">
        <v>0.06524751010129579</v>
      </c>
      <c r="D11" s="9">
        <v>0.18</v>
      </c>
      <c r="E11" s="4" t="s">
        <v>9</v>
      </c>
      <c r="F11" s="9">
        <v>0.18</v>
      </c>
    </row>
    <row r="12" spans="1:6" x14ac:dyDescent="0.25">
      <c r="A12" s="6" t="s">
        <v>17</v>
      </c>
      <c r="B12" s="6"/>
      <c r="C12" s="8">
        <v>0.037535854153118955</v>
      </c>
      <c r="D12" s="8">
        <v>0.1</v>
      </c>
      <c r="E12" s="6" t="s">
        <v>9</v>
      </c>
      <c r="F12" s="8">
        <v>0.1</v>
      </c>
    </row>
    <row r="13" spans="1:6" x14ac:dyDescent="0.25">
      <c r="A13" s="4" t="s">
        <v>18</v>
      </c>
      <c r="B13" s="4"/>
      <c r="C13" s="9">
        <v>0.322026092965168</v>
      </c>
      <c r="D13" s="9">
        <v>0.4</v>
      </c>
      <c r="E13" s="4" t="s">
        <v>9</v>
      </c>
      <c r="F13" s="9">
        <v>0.4</v>
      </c>
    </row>
    <row r="14" spans="1:6" x14ac:dyDescent="0.25">
      <c r="A14" s="6" t="s">
        <v>19</v>
      </c>
      <c r="B14" s="6"/>
      <c r="C14" s="7">
        <v>9.861276104516012</v>
      </c>
      <c r="D14" s="7">
        <v>8</v>
      </c>
      <c r="E14" s="6" t="s">
        <v>12</v>
      </c>
      <c r="F14" s="7">
        <v>8</v>
      </c>
    </row>
    <row r="15" spans="1:6" x14ac:dyDescent="0.25">
      <c r="A15" s="4" t="s">
        <v>20</v>
      </c>
      <c r="B15" s="4"/>
      <c r="C15" s="5">
        <v>34.940151490708885</v>
      </c>
      <c r="D15" s="5">
        <v>40</v>
      </c>
      <c r="E15" s="4" t="s">
        <v>12</v>
      </c>
      <c r="F15" s="5">
        <v>40</v>
      </c>
    </row>
    <row r="16" spans="1:6" x14ac:dyDescent="0.25">
      <c r="A16" s="6" t="s">
        <v>21</v>
      </c>
      <c r="B16" s="6"/>
      <c r="C16" s="7">
        <v>57.36833131749571</v>
      </c>
      <c r="D16" s="7">
        <v>45</v>
      </c>
      <c r="E16" s="6" t="s">
        <v>9</v>
      </c>
      <c r="F16" s="7">
        <v>45</v>
      </c>
    </row>
    <row r="18" spans="1:3" x14ac:dyDescent="0.25">
      <c r="A18" s="10" t="s">
        <v>22</v>
      </c>
      <c r="B18" s="11" t="s">
        <v>23</v>
      </c>
      <c r="C18" s="12" t="s">
        <v>24</v>
      </c>
    </row>
    <row r="19" spans="1:3" x14ac:dyDescent="0.25">
      <c r="A19" s="13">
        <f>COUNTIF(E5:E16,"✅ Cumple")</f>
      </c>
      <c r="B19" s="14">
        <f>COUNTIF(E5:E16,"⚠ Revisar")</f>
      </c>
      <c r="C19" s="15">
        <f>COUNTIF(E5:E16,"✅ Cumple")/12</f>
      </c>
    </row>
    <row r="22" spans="1:6" x14ac:dyDescent="0.25">
      <c r="A22" s="16" t="s">
        <v>25</v>
      </c>
      <c r="B22" s="16"/>
      <c r="C22" s="16"/>
      <c r="D22" s="16"/>
      <c r="E22" s="16"/>
      <c r="F22" s="16"/>
    </row>
  </sheetData>
  <mergeCells count="3">
    <mergeCell ref="A1:F1"/>
    <mergeCell ref="A2:F2"/>
    <mergeCell ref="A22:F22"/>
  </mergeCells>
  <conditionalFormatting sqref="E5:E16">
    <cfRule type="cellIs" dxfId="0" priority="1" operator="equal">
      <formula>"⚠ Revisar"</formula>
    </cfRule>
    <cfRule type="cellIs" dxfId="1" priority="2" operator="equal">
      <formula>"✅ Cumple"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Ratios Financieros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2026-08-23T16:46:27Z</dcterms:created>
  <dcterms:modified xsi:type="dcterms:W3CDTF">2026-08-23T16:46:27Z</dcterms:modified>
</cp:coreProperties>
</file>