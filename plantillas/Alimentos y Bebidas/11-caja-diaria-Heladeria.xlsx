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<sst xmlns="http://schemas.openxmlformats.org/spreadsheetml/2006/main" count="129" uniqueCount="90">
  <si>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HELADERÍA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</si>
  <si>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</si>
  <si>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</si>
  <si>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</si>
  <si>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</si>
  <si>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</si>
  <si>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</si>
  <si>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</si>
  <si>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</si>
  <si>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</si>
  <si>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</si>
  <si>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</si>
  <si>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Milkshake</t>
  </si>
  <si>
    <t>08:30</t>
  </si>
  <si>
    <t>B001-10001</t>
  </si>
  <si>
    <t>Yape</t>
  </si>
  <si>
    <t>Cono simple</t>
  </si>
  <si>
    <t>09:15</t>
  </si>
  <si>
    <t>B001-10002</t>
  </si>
  <si>
    <t>Plin</t>
  </si>
  <si>
    <t>Banana split</t>
  </si>
  <si>
    <t>09:45</t>
  </si>
  <si>
    <t>B001-10003</t>
  </si>
  <si>
    <t>10:20</t>
  </si>
  <si>
    <t>B001-10004</t>
  </si>
  <si>
    <t>Tarjeta</t>
  </si>
  <si>
    <t>Copa de helado</t>
  </si>
  <si>
    <t>11:00</t>
  </si>
  <si>
    <t>B001-10005</t>
  </si>
  <si>
    <t>Helado 1L</t>
  </si>
  <si>
    <t>11:40</t>
  </si>
  <si>
    <t>B001-10006</t>
  </si>
  <si>
    <t>Granizado</t>
  </si>
  <si>
    <t>12:15</t>
  </si>
  <si>
    <t>B001-10007</t>
  </si>
  <si>
    <t>12:50</t>
  </si>
  <si>
    <t>B001-10008</t>
  </si>
  <si>
    <t>Transferencia</t>
  </si>
  <si>
    <t>13:30</t>
  </si>
  <si>
    <t>B001-10009</t>
  </si>
  <si>
    <t>Sundae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</si>
  <si>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</si>
  <si>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</si>
  <si>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</si>
  <si>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</si>
  <si>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</si>
  <si>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</si>
  <si>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</si>
  <si>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</si>
  <si>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</si>
  <si>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</si>
  <si>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</si>
  <si>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</si>
  <si>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</si>
  <si>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</si>
  <si>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</si>
  <si>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</si>
  <si>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</si>
  <si>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</si>
  <si>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</si>
  <si>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</si>
  <si>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</si>
  <si>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</si>
  <si>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</si>
  <si>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</si>
  <si>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</si>
  <si>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</si>
  <si>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</si>
  <si>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</si>
  <si>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</si>
  <si>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</si>
  <si>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</si>
  <si>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</si>
  <si>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</si>
  <si>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</si>
  <si>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</si>
  <si>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</si>
  <si>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</si>
  <si>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HELADERÍA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</si>
  <si>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</si>
  <si>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</si>
  <si>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</si>
  <si>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</si>
  <si>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</si>
  <si>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</si>
  <si>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</si>
  <si>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</si>
  <si>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</si>
  <si>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</si>
  <si>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Heladería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</si>
</sst>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19.05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15.67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49.17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16</v>
      </c>
      <c r="E8" s="7">
        <v>33.97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48.83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29</v>
      </c>
      <c r="E10" s="7">
        <v>15.8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32</v>
      </c>
      <c r="E11" s="5">
        <v>39.37</v>
      </c>
      <c r="F11" s="5">
        <f>ROUND(E11/1.18*0.18,2)</f>
      </c>
      <c r="G11" s="5">
        <f>E11</f>
      </c>
    </row>
    <row r="12" spans="1:7" x14ac:dyDescent="0.25">
      <c r="A12" s="6" t="s">
        <v>33</v>
      </c>
      <c r="B12" s="6" t="s">
        <v>34</v>
      </c>
      <c r="C12" s="6" t="s">
        <v>11</v>
      </c>
      <c r="D12" s="6" t="s">
        <v>32</v>
      </c>
      <c r="E12" s="7">
        <v>46.78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29</v>
      </c>
      <c r="E13" s="5">
        <v>8.51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40</v>
      </c>
      <c r="E14" s="7">
        <v>18.79</v>
      </c>
      <c r="F14" s="7">
        <f>ROUND(E14/1.18*0.18,2)</f>
      </c>
      <c r="G14" s="7">
        <f>E14</f>
      </c>
    </row>
    <row r="15" spans="1:7" x14ac:dyDescent="0.25">
      <c r="A15" s="4" t="s">
        <v>41</v>
      </c>
      <c r="B15" s="4" t="s">
        <v>42</v>
      </c>
      <c r="C15" s="4" t="s">
        <v>11</v>
      </c>
      <c r="D15" s="4" t="s">
        <v>16</v>
      </c>
      <c r="E15" s="5">
        <v>48.38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12</v>
      </c>
      <c r="E16" s="7">
        <v>29.07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12</v>
      </c>
      <c r="E17" s="5">
        <v>21.69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12</v>
      </c>
      <c r="E18" s="7">
        <v>57.34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12</v>
      </c>
      <c r="E19" s="5">
        <v>36.2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16</v>
      </c>
      <c r="E20" s="7">
        <v>4.54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12</v>
      </c>
      <c r="E21" s="5">
        <v>13.59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16</v>
      </c>
      <c r="E22" s="7">
        <v>43.2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37</v>
      </c>
      <c r="D23" s="4" t="s">
        <v>20</v>
      </c>
      <c r="E23" s="5">
        <v>34.36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32</v>
      </c>
      <c r="E24" s="7">
        <v>5.18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0</v>
      </c>
      <c r="C5" s="5">
        <f>200*B5</f>
      </c>
    </row>
    <row r="6" spans="1:3" x14ac:dyDescent="0.25">
      <c r="A6" s="6" t="s">
        <v>67</v>
      </c>
      <c r="B6" s="9">
        <v>4</v>
      </c>
      <c r="C6" s="7">
        <f>100*B6</f>
      </c>
    </row>
    <row r="7" spans="1:3" x14ac:dyDescent="0.25">
      <c r="A7" s="4" t="s">
        <v>68</v>
      </c>
      <c r="B7" s="8">
        <v>0</v>
      </c>
      <c r="C7" s="5">
        <f>50*B7</f>
      </c>
    </row>
    <row r="8" spans="1:3" x14ac:dyDescent="0.25">
      <c r="A8" s="6" t="s">
        <v>69</v>
      </c>
      <c r="B8" s="9">
        <v>9</v>
      </c>
      <c r="C8" s="7">
        <f>20*B8</f>
      </c>
    </row>
    <row r="9" spans="1:3" x14ac:dyDescent="0.25">
      <c r="A9" s="4" t="s">
        <v>70</v>
      </c>
      <c r="B9" s="8">
        <v>2</v>
      </c>
      <c r="C9" s="5">
        <f>10*B9</f>
      </c>
    </row>
    <row r="10" spans="1:3" x14ac:dyDescent="0.25">
      <c r="A10" s="6" t="s">
        <v>71</v>
      </c>
      <c r="B10" s="9">
        <v>11</v>
      </c>
      <c r="C10" s="7">
        <f>5*B10</f>
      </c>
    </row>
    <row r="11" spans="1:3" x14ac:dyDescent="0.25">
      <c r="A11" s="4" t="s">
        <v>72</v>
      </c>
      <c r="B11" s="8">
        <v>11</v>
      </c>
      <c r="C11" s="5">
        <f>2*B11</f>
      </c>
    </row>
    <row r="12" spans="1:3" x14ac:dyDescent="0.25">
      <c r="A12" s="6" t="s">
        <v>73</v>
      </c>
      <c r="B12" s="9">
        <v>13</v>
      </c>
      <c r="C12" s="7">
        <f>1*B12</f>
      </c>
    </row>
    <row r="13" spans="1:3" x14ac:dyDescent="0.25">
      <c r="A13" s="4" t="s">
        <v>74</v>
      </c>
      <c r="B13" s="8">
        <v>15</v>
      </c>
      <c r="C13" s="5">
        <f>0.5*B13</f>
      </c>
    </row>
    <row r="14" spans="1:3" x14ac:dyDescent="0.25">
      <c r="A14" s="6" t="s">
        <v>75</v>
      </c>
      <c r="B14" s="9">
        <v>4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{C7D5D963-F41B-4C50-8DFB-B3BD8EEA4974}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D5D963-F41B-4C50-8DFB-B3BD8EEA4974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