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<sst xmlns="http://schemas.openxmlformats.org/spreadsheetml/2006/main" count="129" uniqueCount="90">
  <si>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JUGUERÍA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</si>
  <si>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</si>
  <si>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</si>
  <si>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</si>
  <si>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</si>
  <si>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</si>
  <si>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</si>
  <si>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</si>
  <si>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</si>
  <si>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</si>
  <si>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</si>
  <si>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</si>
  <si>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Jugo surtido</t>
  </si>
  <si>
    <t>08:30</t>
  </si>
  <si>
    <t>B001-10001</t>
  </si>
  <si>
    <t>Yape</t>
  </si>
  <si>
    <t>Jugo de papaya</t>
  </si>
  <si>
    <t>09:15</t>
  </si>
  <si>
    <t>B001-10002</t>
  </si>
  <si>
    <t>Plin</t>
  </si>
  <si>
    <t>Emoliente</t>
  </si>
  <si>
    <t>09:45</t>
  </si>
  <si>
    <t>B001-10003</t>
  </si>
  <si>
    <t>Ensalada de frutas</t>
  </si>
  <si>
    <t>10:20</t>
  </si>
  <si>
    <t>B001-10004</t>
  </si>
  <si>
    <t>Tarjeta</t>
  </si>
  <si>
    <t>Chicha morada</t>
  </si>
  <si>
    <t>11:00</t>
  </si>
  <si>
    <t>B001-10005</t>
  </si>
  <si>
    <t>Licuado de plátano</t>
  </si>
  <si>
    <t>11:40</t>
  </si>
  <si>
    <t>B001-10006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</si>
  <si>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</si>
  <si>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</si>
  <si>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</si>
  <si>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</si>
  <si>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</si>
  <si>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</si>
  <si>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</si>
  <si>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</si>
  <si>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</si>
  <si>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</si>
  <si>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</si>
  <si>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</si>
  <si>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</si>
  <si>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</si>
  <si>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</si>
  <si>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</si>
  <si>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</si>
  <si>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</si>
  <si>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</si>
  <si>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</si>
  <si>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</si>
  <si>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</si>
  <si>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</si>
  <si>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</si>
  <si>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</si>
  <si>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Jugo de naranja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</si>
  <si>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</si>
  <si>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</si>
  <si>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</si>
  <si>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</si>
  <si>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</si>
  <si>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</si>
  <si>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</si>
  <si>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</si>
  <si>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</si>
  <si>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</si>
  <si>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</si>
  <si>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</si>
  <si>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</si>
  <si>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</si>
  <si>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</si>
  <si>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</si>
  <si>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</si>
  <si>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</si>
  <si>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</si>
  <si>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JUGUERÍA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</si>
  <si>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</si>
  <si>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</si>
  <si>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</si>
  <si>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</si>
  <si>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</si>
  <si>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</si>
  <si>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</si>
  <si>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</si>
  <si>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</si>
  <si>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</si>
  <si>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Juguería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</si>
</sst>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30.83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5.19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26.85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31.58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28.7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30</v>
      </c>
      <c r="E10" s="7">
        <v>23.31</v>
      </c>
      <c r="F10" s="7">
        <f>ROUND(E10/1.18*0.18,2)</f>
      </c>
      <c r="G10" s="7">
        <f>E10</f>
      </c>
    </row>
    <row r="11" spans="1:7" x14ac:dyDescent="0.25">
      <c r="A11" s="4" t="s">
        <v>31</v>
      </c>
      <c r="B11" s="4" t="s">
        <v>32</v>
      </c>
      <c r="C11" s="4" t="s">
        <v>11</v>
      </c>
      <c r="D11" s="4" t="s">
        <v>16</v>
      </c>
      <c r="E11" s="5">
        <v>18.69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27</v>
      </c>
      <c r="E12" s="7">
        <v>9.21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20</v>
      </c>
      <c r="E13" s="5">
        <v>18.66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16</v>
      </c>
      <c r="E14" s="7">
        <v>56.28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30</v>
      </c>
      <c r="E15" s="5">
        <v>52.31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30</v>
      </c>
      <c r="E16" s="7">
        <v>16.18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16</v>
      </c>
      <c r="E17" s="5">
        <v>28.26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12</v>
      </c>
      <c r="E18" s="7">
        <v>37.92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26</v>
      </c>
      <c r="D19" s="4" t="s">
        <v>27</v>
      </c>
      <c r="E19" s="5">
        <v>40.83</v>
      </c>
      <c r="F19" s="5">
        <f>ROUND(E19/1.18*0.18,2)</f>
      </c>
      <c r="G19" s="5">
        <f>E19</f>
      </c>
    </row>
    <row r="20" spans="1:7" x14ac:dyDescent="0.25">
      <c r="A20" s="6" t="s">
        <v>50</v>
      </c>
      <c r="B20" s="6" t="s">
        <v>51</v>
      </c>
      <c r="C20" s="6" t="s">
        <v>15</v>
      </c>
      <c r="D20" s="6" t="s">
        <v>12</v>
      </c>
      <c r="E20" s="7">
        <v>55.87</v>
      </c>
      <c r="F20" s="7">
        <f>ROUND(E20/1.18*0.18,2)</f>
      </c>
      <c r="G20" s="7">
        <f>E20</f>
      </c>
    </row>
    <row r="21" spans="1:7" x14ac:dyDescent="0.25">
      <c r="A21" s="4" t="s">
        <v>52</v>
      </c>
      <c r="B21" s="4" t="s">
        <v>53</v>
      </c>
      <c r="C21" s="4" t="s">
        <v>11</v>
      </c>
      <c r="D21" s="4" t="s">
        <v>27</v>
      </c>
      <c r="E21" s="5">
        <v>38.81</v>
      </c>
      <c r="F21" s="5">
        <f>ROUND(E21/1.18*0.18,2)</f>
      </c>
      <c r="G21" s="5">
        <f>E21</f>
      </c>
    </row>
    <row r="22" spans="1:7" x14ac:dyDescent="0.25">
      <c r="A22" s="6" t="s">
        <v>54</v>
      </c>
      <c r="B22" s="6" t="s">
        <v>55</v>
      </c>
      <c r="C22" s="6" t="s">
        <v>11</v>
      </c>
      <c r="D22" s="6" t="s">
        <v>20</v>
      </c>
      <c r="E22" s="7">
        <v>39.73</v>
      </c>
      <c r="F22" s="7">
        <f>ROUND(E22/1.18*0.18,2)</f>
      </c>
      <c r="G22" s="7">
        <f>E22</f>
      </c>
    </row>
    <row r="23" spans="1:7" x14ac:dyDescent="0.25">
      <c r="A23" s="4" t="s">
        <v>56</v>
      </c>
      <c r="B23" s="4" t="s">
        <v>57</v>
      </c>
      <c r="C23" s="4" t="s">
        <v>37</v>
      </c>
      <c r="D23" s="4" t="s">
        <v>58</v>
      </c>
      <c r="E23" s="5">
        <v>57.5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27</v>
      </c>
      <c r="E24" s="7">
        <v>34.79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2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4</v>
      </c>
      <c r="C7" s="5">
        <f>50*B7</f>
      </c>
    </row>
    <row r="8" spans="1:3" x14ac:dyDescent="0.25">
      <c r="A8" s="6" t="s">
        <v>69</v>
      </c>
      <c r="B8" s="9">
        <v>17</v>
      </c>
      <c r="C8" s="7">
        <f>20*B8</f>
      </c>
    </row>
    <row r="9" spans="1:3" x14ac:dyDescent="0.25">
      <c r="A9" s="4" t="s">
        <v>70</v>
      </c>
      <c r="B9" s="8">
        <v>17</v>
      </c>
      <c r="C9" s="5">
        <f>10*B9</f>
      </c>
    </row>
    <row r="10" spans="1:3" x14ac:dyDescent="0.25">
      <c r="A10" s="6" t="s">
        <v>71</v>
      </c>
      <c r="B10" s="9">
        <v>9</v>
      </c>
      <c r="C10" s="7">
        <f>5*B10</f>
      </c>
    </row>
    <row r="11" spans="1:3" x14ac:dyDescent="0.25">
      <c r="A11" s="4" t="s">
        <v>72</v>
      </c>
      <c r="B11" s="8">
        <v>1</v>
      </c>
      <c r="C11" s="5">
        <f>2*B11</f>
      </c>
    </row>
    <row r="12" spans="1:3" x14ac:dyDescent="0.25">
      <c r="A12" s="6" t="s">
        <v>73</v>
      </c>
      <c r="B12" s="9">
        <v>12</v>
      </c>
      <c r="C12" s="7">
        <f>1*B12</f>
      </c>
    </row>
    <row r="13" spans="1:3" x14ac:dyDescent="0.25">
      <c r="A13" s="4" t="s">
        <v>74</v>
      </c>
      <c r="B13" s="8">
        <v>19</v>
      </c>
      <c r="C13" s="5">
        <f>0.5*B13</f>
      </c>
    </row>
    <row r="14" spans="1:3" x14ac:dyDescent="0.25">
      <c r="A14" s="6" t="s">
        <v>75</v>
      </c>
      <c r="B14" s="9">
        <v>17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{CE7EEBAD-D08E-4BEF-BB7B-FF45A9F36A19}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7EEBAD-D08E-4BEF-BB7B-FF45A9F36A19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