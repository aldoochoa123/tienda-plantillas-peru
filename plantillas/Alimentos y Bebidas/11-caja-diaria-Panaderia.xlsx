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<sst xmlns="http://schemas.openxmlformats.org/spreadsheetml/2006/main" count="129" uniqueCount="90">
  <si>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PANADERÍA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</si>
  <si>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</si>
  <si>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</si>
  <si>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</si>
  <si>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</si>
  <si>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</si>
  <si>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</si>
  <si>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</si>
  <si>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</si>
  <si>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</si>
  <si>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</si>
  <si>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</si>
  <si>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Panetela</t>
  </si>
  <si>
    <t>08:30</t>
  </si>
  <si>
    <t>B001-10001</t>
  </si>
  <si>
    <t>Yape</t>
  </si>
  <si>
    <t>Pan francés</t>
  </si>
  <si>
    <t>09:15</t>
  </si>
  <si>
    <t>B001-10002</t>
  </si>
  <si>
    <t>Plin</t>
  </si>
  <si>
    <t>Pionono</t>
  </si>
  <si>
    <t>09:45</t>
  </si>
  <si>
    <t>B001-10003</t>
  </si>
  <si>
    <t>Bizcocho</t>
  </si>
  <si>
    <t>10:20</t>
  </si>
  <si>
    <t>B001-10004</t>
  </si>
  <si>
    <t>Tarjeta</t>
  </si>
  <si>
    <t>11:00</t>
  </si>
  <si>
    <t>B001-10005</t>
  </si>
  <si>
    <t>Pan ciabatta</t>
  </si>
  <si>
    <t>11:40</t>
  </si>
  <si>
    <t>B001-10006</t>
  </si>
  <si>
    <t>12:15</t>
  </si>
  <si>
    <t>B001-10007</t>
  </si>
  <si>
    <t>12:50</t>
  </si>
  <si>
    <t>B001-10008</t>
  </si>
  <si>
    <t>Transferencia</t>
  </si>
  <si>
    <t>Empanada de carne</t>
  </si>
  <si>
    <t>13:30</t>
  </si>
  <si>
    <t>B001-10009</t>
  </si>
  <si>
    <t>Pan integral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</si>
  <si>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</si>
  <si>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</si>
  <si>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</si>
  <si>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</si>
  <si>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</si>
  <si>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</si>
  <si>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</si>
  <si>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</si>
  <si>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</si>
  <si>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</si>
  <si>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</si>
  <si>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</si>
  <si>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</si>
  <si>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</si>
  <si>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</si>
  <si>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</si>
  <si>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</si>
  <si>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</si>
  <si>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</si>
  <si>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</si>
  <si>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</si>
  <si>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</si>
  <si>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</si>
  <si>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</si>
  <si>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</si>
  <si>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</si>
  <si>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</si>
  <si>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</si>
  <si>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</si>
  <si>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</si>
  <si>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</si>
  <si>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</si>
  <si>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</si>
  <si>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</si>
  <si>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</si>
  <si>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</si>
  <si>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</si>
  <si>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PANADERÍA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</si>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</sst>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16.62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50.63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53.86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49.88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16</v>
      </c>
      <c r="E9" s="5">
        <v>30.03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27.37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29</v>
      </c>
      <c r="E11" s="5">
        <v>9.56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15.69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38.51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26.17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20</v>
      </c>
      <c r="E15" s="5">
        <v>7.52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23</v>
      </c>
      <c r="E16" s="7">
        <v>9.12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29</v>
      </c>
      <c r="E17" s="5">
        <v>18.37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37</v>
      </c>
      <c r="E18" s="7">
        <v>32.91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29</v>
      </c>
      <c r="E19" s="5">
        <v>34.65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16</v>
      </c>
      <c r="E20" s="7">
        <v>6.94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40</v>
      </c>
      <c r="E21" s="5">
        <v>53.05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37</v>
      </c>
      <c r="E22" s="7">
        <v>10.04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40</v>
      </c>
      <c r="E23" s="5">
        <v>7.97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29</v>
      </c>
      <c r="E24" s="7">
        <v>47.86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6</v>
      </c>
      <c r="C8" s="7">
        <f>20*B8</f>
      </c>
    </row>
    <row r="9" spans="1:3" x14ac:dyDescent="0.25">
      <c r="A9" s="4" t="s">
        <v>70</v>
      </c>
      <c r="B9" s="8">
        <v>7</v>
      </c>
      <c r="C9" s="5">
        <f>10*B9</f>
      </c>
    </row>
    <row r="10" spans="1:3" x14ac:dyDescent="0.25">
      <c r="A10" s="6" t="s">
        <v>71</v>
      </c>
      <c r="B10" s="9">
        <v>18</v>
      </c>
      <c r="C10" s="7">
        <f>5*B10</f>
      </c>
    </row>
    <row r="11" spans="1:3" x14ac:dyDescent="0.25">
      <c r="A11" s="4" t="s">
        <v>72</v>
      </c>
      <c r="B11" s="8">
        <v>2</v>
      </c>
      <c r="C11" s="5">
        <f>2*B11</f>
      </c>
    </row>
    <row r="12" spans="1:3" x14ac:dyDescent="0.25">
      <c r="A12" s="6" t="s">
        <v>73</v>
      </c>
      <c r="B12" s="9">
        <v>6</v>
      </c>
      <c r="C12" s="7">
        <f>1*B12</f>
      </c>
    </row>
    <row r="13" spans="1:3" x14ac:dyDescent="0.25">
      <c r="A13" s="4" t="s">
        <v>74</v>
      </c>
      <c r="B13" s="8">
        <v>0</v>
      </c>
      <c r="C13" s="5">
        <f>0.5*B13</f>
      </c>
    </row>
    <row r="14" spans="1:3" x14ac:dyDescent="0.25">
      <c r="A14" s="6" t="s">
        <v>75</v>
      </c>
      <c r="B14" s="9">
        <v>8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{95259999-3D66-4564-A50E-6B6652CB5956}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259999-3D66-4564-A50E-6B6652CB5956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