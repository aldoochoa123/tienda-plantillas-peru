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<sst xmlns="http://schemas.openxmlformats.org/spreadsheetml/2006/main" count="129" uniqueCount="91">
  <si>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CEVICHERÍA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</si>
  <si>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</si>
  <si>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</si>
  <si>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</si>
  <si>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</si>
  <si>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</si>
  <si>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</si>
  <si>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</si>
  <si>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</si>
  <si>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</si>
  <si>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</si>
  <si>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</si>
  <si>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Tiradito</t>
  </si>
  <si>
    <t>08:30</t>
  </si>
  <si>
    <t>B001-10001</t>
  </si>
  <si>
    <t>Yape</t>
  </si>
  <si>
    <t>Inca Kola</t>
  </si>
  <si>
    <t>09:15</t>
  </si>
  <si>
    <t>B001-10002</t>
  </si>
  <si>
    <t>Plin</t>
  </si>
  <si>
    <t>Chilcano</t>
  </si>
  <si>
    <t>09:45</t>
  </si>
  <si>
    <t>B001-10003</t>
  </si>
  <si>
    <t>Jalea mixta</t>
  </si>
  <si>
    <t>10:20</t>
  </si>
  <si>
    <t>B001-10004</t>
  </si>
  <si>
    <t>Tarjeta</t>
  </si>
  <si>
    <t>11:00</t>
  </si>
  <si>
    <t>B001-10005</t>
  </si>
  <si>
    <t>11:40</t>
  </si>
  <si>
    <t>B001-10006</t>
  </si>
  <si>
    <t>Leche de tigre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</si>
  <si>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</si>
  <si>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</si>
  <si>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</si>
  <si>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</si>
  <si>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</si>
  <si>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</si>
  <si>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</si>
  <si>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</si>
  <si>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</si>
  <si>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Arroz con mariscos</t>
  </si>
  <si>
    <t>15:00</t>
  </si>
  <si>
    <t>B001-10011</t>
  </si>
  <si>
    <t>15:30</t>
  </si>
  <si>
    <t>B001-10012</t>
  </si>
  <si>
    <t>Chicha morada</t>
  </si>
  <si>
    <t>16:00</t>
  </si>
  <si>
    <t>B001-10013</t>
  </si>
  <si>
    <t>16:45</t>
  </si>
  <si>
    <t>B001-10014</t>
  </si>
  <si>
    <t>17:15</t>
  </si>
  <si>
    <t>B001-10015</t>
  </si>
  <si>
    <t>Ceviche clásico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</si>
  <si>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</si>
  <si>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</si>
  <si>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</si>
  <si>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</si>
  <si>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</si>
  <si>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</si>
  <si>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</si>
  <si>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</si>
  <si>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</si>
  <si>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</si>
  <si>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</si>
  <si>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</si>
  <si>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</si>
  <si>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</si>
  <si>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</si>
  <si>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</si>
  <si>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</si>
  <si>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</si>
  <si>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</si>
  <si>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</si>
  <si>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</si>
  <si>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</si>
  <si>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</si>
  <si>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</si>
  <si>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</si>
  <si>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CEVICHERÍA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</si>
  <si>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</si>
  <si>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</si>
  <si>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</si>
  <si>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</si>
  <si>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</si>
  <si>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</si>
  <si>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</si>
  <si>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</si>
  <si>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</si>
  <si>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</si>
  <si>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Cevichería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</si>
</sst>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3.34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39.98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34.11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53.58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16</v>
      </c>
      <c r="E9" s="5">
        <v>34.62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20</v>
      </c>
      <c r="E10" s="7">
        <v>42.33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46.09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16</v>
      </c>
      <c r="E12" s="7">
        <v>36.19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20</v>
      </c>
      <c r="E13" s="5">
        <v>32.87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12</v>
      </c>
      <c r="E14" s="7">
        <v>29.67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28.58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31</v>
      </c>
      <c r="E16" s="7">
        <v>11.08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46</v>
      </c>
      <c r="E17" s="5">
        <v>31.83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16</v>
      </c>
      <c r="E18" s="7">
        <v>55.25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12</v>
      </c>
      <c r="E19" s="5">
        <v>42.14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53</v>
      </c>
      <c r="E20" s="7">
        <v>15.41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23</v>
      </c>
      <c r="E21" s="5">
        <v>56.65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53</v>
      </c>
      <c r="E22" s="7">
        <v>4.82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46</v>
      </c>
      <c r="E23" s="5">
        <v>31.77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41</v>
      </c>
      <c r="E24" s="7">
        <v>23.44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1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7</v>
      </c>
      <c r="C8" s="7">
        <f>20*B8</f>
      </c>
    </row>
    <row r="9" spans="1:3" x14ac:dyDescent="0.25">
      <c r="A9" s="4" t="s">
        <v>71</v>
      </c>
      <c r="B9" s="8">
        <v>9</v>
      </c>
      <c r="C9" s="5">
        <f>10*B9</f>
      </c>
    </row>
    <row r="10" spans="1:3" x14ac:dyDescent="0.25">
      <c r="A10" s="6" t="s">
        <v>72</v>
      </c>
      <c r="B10" s="9">
        <v>2</v>
      </c>
      <c r="C10" s="7">
        <f>5*B10</f>
      </c>
    </row>
    <row r="11" spans="1:3" x14ac:dyDescent="0.25">
      <c r="A11" s="4" t="s">
        <v>73</v>
      </c>
      <c r="B11" s="8">
        <v>17</v>
      </c>
      <c r="C11" s="5">
        <f>2*B11</f>
      </c>
    </row>
    <row r="12" spans="1:3" x14ac:dyDescent="0.25">
      <c r="A12" s="6" t="s">
        <v>74</v>
      </c>
      <c r="B12" s="9">
        <v>6</v>
      </c>
      <c r="C12" s="7">
        <f>1*B12</f>
      </c>
    </row>
    <row r="13" spans="1:3" x14ac:dyDescent="0.25">
      <c r="A13" s="4" t="s">
        <v>75</v>
      </c>
      <c r="B13" s="8">
        <v>16</v>
      </c>
      <c r="C13" s="5">
        <f>0.5*B13</f>
      </c>
    </row>
    <row r="14" spans="1:3" x14ac:dyDescent="0.25">
      <c r="A14" s="6" t="s">
        <v>76</v>
      </c>
      <c r="B14" s="9">
        <v>11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{94DBD901-62BB-45D9-A96A-04A2FE5A2505}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DBD901-62BB-45D9-A96A-04A2FE5A2505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