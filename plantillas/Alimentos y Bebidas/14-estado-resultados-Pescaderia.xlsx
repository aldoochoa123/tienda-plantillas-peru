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ado de Resultados" state="visible" r:id="rId4"/>
  </sheets>
  <calcPr calcId="171027"/>
</workbook>
</file>

<file path=xl/sharedStrings.xml><?xml version="1.0" encoding="utf-8"?>
<sst xmlns="http://schemas.openxmlformats.org/spreadsheetml/2006/main" count="31" uniqueCount="30">
  <si>
    <t>ESTADO DE RESULTADOS — PESCADERÍA</t>
  </si>
  <si>
    <t>Resultado del ejercicio al ${new Date().getFullYear()}</t>
  </si>
  <si>
    <t>INGRESOS OPERACIONALES</t>
  </si>
  <si>
    <t>Concepto</t>
  </si>
  <si>
    <t>Mensual</t>
  </si>
  <si>
    <t>Acumulado</t>
  </si>
  <si>
    <t>Presupuesto</t>
  </si>
  <si>
    <t>% Cumplimiento</t>
  </si>
  <si>
    <t>Ventas Nacionales</t>
  </si>
  <si>
    <t>Exportaciones</t>
  </si>
  <si>
    <t>Otros Ingresos</t>
  </si>
  <si>
    <t>TOTAL INGRESOS</t>
  </si>
  <si>
    <t>COSTO DE VENTAS</t>
  </si>
  <si>
    <t>Costo de Mercadería</t>
  </si>
  <si>
    <t>Mano de Obra Directa</t>
  </si>
  <si>
    <t>TOTAL COSTO DE VENTAS</t>
  </si>
  <si>
    <t/>
  </si>
  <si>
    <t>UTILIDAD BRUTA</t>
  </si>
  <si>
    <t>GASTOS OPERACIONALES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</si>
  <si>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</si>
  <si>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</si>
  <si>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</si>
  <si>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</si>
  <si>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</si>
  <si>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 xml:space="preserve">  Honorarios Profesionales</t>
  </si>
  <si>
    <t>TOTAL GASTOS OPERACIONALES</t>
  </si>
  <si>
    <t>UTILIDAD OPERATIVA (EBIT)</t>
  </si>
  <si>
    <t>Impuesto a la Renta (29%)</t>
  </si>
  <si>
    <t>UTILIDAD NETA</t>
  </si>
  <si>
    <t>Pescadería · Estado de Resultados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</si>
</sst>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165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right" vertical="center"/>
    </xf>
    <xf numFmtId="0" fontId="5" fillId="8" borderId="1" xfId="0" applyFont="1" applyFill="1" applyBorder="1" applyAlignment="1">
      <alignment horizontal="left" vertical="center"/>
    </xf>
    <xf numFmtId="164" fontId="5" fillId="8" borderId="1" xfId="0" applyNumberFormat="1" applyFont="1" applyFill="1" applyBorder="1" applyAlignment="1">
      <alignment horizontal="right" vertical="center"/>
    </xf>
    <xf numFmtId="165" fontId="5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4" customWidth="1"/>
    <col min="5" max="5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5" x14ac:dyDescent="0.25">
      <c r="A4" s="3" t="s">
        <v>2</v>
      </c>
      <c r="B4" s="3"/>
      <c r="C4" s="3"/>
      <c r="D4" s="3"/>
      <c r="E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42415</v>
      </c>
      <c r="C6" s="6">
        <v>296905</v>
      </c>
      <c r="D6" s="6">
        <v>318112.5</v>
      </c>
      <c r="E6" s="7">
        <f>C6/D6</f>
      </c>
    </row>
    <row r="7" spans="1:5" x14ac:dyDescent="0.25">
      <c r="A7" s="8" t="s">
        <v>9</v>
      </c>
      <c r="B7" s="9">
        <v>6178</v>
      </c>
      <c r="C7" s="9">
        <v>43246</v>
      </c>
      <c r="D7" s="9">
        <v>37068</v>
      </c>
      <c r="E7" s="10">
        <f>C7/D7</f>
      </c>
    </row>
    <row r="8" spans="1:5" x14ac:dyDescent="0.25">
      <c r="A8" s="5" t="s">
        <v>10</v>
      </c>
      <c r="B8" s="6">
        <v>1173</v>
      </c>
      <c r="C8" s="6">
        <v>8211</v>
      </c>
      <c r="D8" s="6">
        <v>7624.5</v>
      </c>
      <c r="E8" s="7">
        <f>C8/D8</f>
      </c>
    </row>
    <row r="9" spans="1:5" x14ac:dyDescent="0.25">
      <c r="A9" s="11" t="s">
        <v>11</v>
      </c>
      <c r="B9" s="12">
        <f>B6+B7+B8</f>
      </c>
      <c r="C9" s="12">
        <f>C6+C7+C8</f>
      </c>
      <c r="D9" s="12">
        <f>D6+D7+D8</f>
      </c>
      <c r="E9" s="13">
        <f>C9/D9</f>
      </c>
    </row>
    <row r="11" spans="1:5" x14ac:dyDescent="0.25">
      <c r="A11" s="14" t="s">
        <v>12</v>
      </c>
      <c r="B11" s="14"/>
      <c r="C11" s="14"/>
      <c r="D11" s="14"/>
      <c r="E11" s="14"/>
    </row>
    <row r="12" spans="1:5" x14ac:dyDescent="0.25">
      <c r="A12" s="5" t="s">
        <v>13</v>
      </c>
      <c r="B12" s="15">
        <v>22936</v>
      </c>
      <c r="C12" s="15">
        <v>160552</v>
      </c>
      <c r="D12" s="15">
        <v>160552</v>
      </c>
      <c r="E12" s="5"/>
    </row>
    <row r="13" spans="1:5" x14ac:dyDescent="0.25">
      <c r="A13" s="8" t="s">
        <v>14</v>
      </c>
      <c r="B13" s="16">
        <v>4415</v>
      </c>
      <c r="C13" s="16">
        <v>30905</v>
      </c>
      <c r="D13" s="16">
        <v>30905</v>
      </c>
      <c r="E13" s="8"/>
    </row>
    <row r="14" spans="1:5" x14ac:dyDescent="0.25">
      <c r="A14" s="17" t="s">
        <v>15</v>
      </c>
      <c r="B14" s="18">
        <f>B12+B13</f>
      </c>
      <c r="C14" s="18">
        <f>C12+C13</f>
      </c>
      <c r="D14" s="18">
        <f>D12+D13</f>
      </c>
      <c r="E14" s="17" t="s">
        <v>16</v>
      </c>
    </row>
    <row r="15" spans="1:5" x14ac:dyDescent="0.25">
      <c r="A15" s="19" t="s">
        <v>17</v>
      </c>
      <c r="B15" s="20">
        <f>B9-B14</f>
      </c>
      <c r="C15" s="20">
        <f>C9-C14</f>
      </c>
      <c r="D15" s="20">
        <f>D9-D14</f>
      </c>
      <c r="E15" s="21">
        <f>C15/D15</f>
      </c>
    </row>
    <row r="17" spans="1:5" x14ac:dyDescent="0.25">
      <c r="A17" s="22" t="s">
        <v>18</v>
      </c>
      <c r="B17" s="22"/>
      <c r="C17" s="22"/>
      <c r="D17" s="22"/>
      <c r="E17" s="22"/>
    </row>
    <row r="18" spans="1:5" x14ac:dyDescent="0.25">
      <c r="A18" s="5" t="s">
        <v>19</v>
      </c>
      <c r="B18" s="6">
        <v>4792.34</v>
      </c>
      <c r="C18" s="6">
        <v>33546.380000000005</v>
      </c>
      <c r="D18" s="6">
        <v>34504.848000000005</v>
      </c>
      <c r="E18" s="5"/>
    </row>
    <row r="19" spans="1:5" x14ac:dyDescent="0.25">
      <c r="A19" s="8" t="s">
        <v>20</v>
      </c>
      <c r="B19" s="9">
        <v>5921.55</v>
      </c>
      <c r="C19" s="9">
        <v>41450.85</v>
      </c>
      <c r="D19" s="9">
        <v>42635.16</v>
      </c>
      <c r="E19" s="8"/>
    </row>
    <row r="20" spans="1:5" x14ac:dyDescent="0.25">
      <c r="A20" s="5" t="s">
        <v>21</v>
      </c>
      <c r="B20" s="6">
        <v>4287.87</v>
      </c>
      <c r="C20" s="6">
        <v>30015.09</v>
      </c>
      <c r="D20" s="6">
        <v>30872.664</v>
      </c>
      <c r="E20" s="5"/>
    </row>
    <row r="21" spans="1:5" x14ac:dyDescent="0.25">
      <c r="A21" s="8" t="s">
        <v>22</v>
      </c>
      <c r="B21" s="9">
        <v>4728.31</v>
      </c>
      <c r="C21" s="9">
        <v>33098.170000000006</v>
      </c>
      <c r="D21" s="9">
        <v>34043.832</v>
      </c>
      <c r="E21" s="8"/>
    </row>
    <row r="22" spans="1:5" x14ac:dyDescent="0.25">
      <c r="A22" s="5" t="s">
        <v>23</v>
      </c>
      <c r="B22" s="6">
        <v>5458.01</v>
      </c>
      <c r="C22" s="6">
        <v>38206.07</v>
      </c>
      <c r="D22" s="6">
        <v>39297.672000000006</v>
      </c>
      <c r="E22" s="5"/>
    </row>
    <row r="23" spans="1:5" x14ac:dyDescent="0.25">
      <c r="A23" s="8" t="s">
        <v>24</v>
      </c>
      <c r="B23" s="9">
        <v>3364.84</v>
      </c>
      <c r="C23" s="9">
        <v>23553.88</v>
      </c>
      <c r="D23" s="9">
        <v>24226.848</v>
      </c>
      <c r="E23" s="8"/>
    </row>
    <row r="24" spans="1:5" x14ac:dyDescent="0.25">
      <c r="A24" s="17" t="s">
        <v>25</v>
      </c>
      <c r="B24" s="18">
        <f>SUM(B18:B23)</f>
      </c>
      <c r="C24" s="18">
        <f>SUM(C18:C23)</f>
      </c>
      <c r="D24" s="18">
        <f>SUM(D18:D23)</f>
      </c>
      <c r="E24" s="17" t="s">
        <v>16</v>
      </c>
    </row>
    <row r="25" spans="1:5" x14ac:dyDescent="0.25">
      <c r="A25" s="11" t="s">
        <v>26</v>
      </c>
      <c r="B25" s="12">
        <f>B15-B24</f>
      </c>
      <c r="C25" s="12">
        <f>C15-C24</f>
      </c>
      <c r="D25" s="12">
        <f>D15-D24</f>
      </c>
      <c r="E25" s="13">
        <f>C25/D25</f>
      </c>
    </row>
    <row r="27" spans="1:5" x14ac:dyDescent="0.25">
      <c r="A27" s="5" t="s">
        <v>27</v>
      </c>
      <c r="B27" s="15">
        <v>981</v>
      </c>
      <c r="C27" s="15">
        <v>6867</v>
      </c>
      <c r="D27" s="15">
        <v>6867</v>
      </c>
      <c r="E27" s="5"/>
    </row>
    <row r="28" spans="1:5" x14ac:dyDescent="0.25">
      <c r="A28" s="23" t="s">
        <v>28</v>
      </c>
      <c r="B28" s="24">
        <f>B25-B27</f>
      </c>
      <c r="C28" s="24">
        <f>C25-C27</f>
      </c>
      <c r="D28" s="24">
        <f>D25-D27</f>
      </c>
      <c r="E28" s="25">
        <f>C28/D28</f>
      </c>
    </row>
    <row r="31" spans="1:5" x14ac:dyDescent="0.25">
      <c r="A31" s="26" t="s">
        <v>29</v>
      </c>
      <c r="B31" s="26"/>
      <c r="C31" s="26"/>
      <c r="D31" s="26"/>
      <c r="E31" s="26"/>
    </row>
  </sheetData>
  <mergeCells count="6">
    <mergeCell ref="A1:G1"/>
    <mergeCell ref="A2:G2"/>
    <mergeCell ref="A4:E4"/>
    <mergeCell ref="A11:E11"/>
    <mergeCell ref="A17:E17"/>
    <mergeCell ref="A31:E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Estado de Resultados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2026-08-23T16:46:24Z</dcterms:created>
  <dcterms:modified xsi:type="dcterms:W3CDTF">2026-08-23T16:46:24Z</dcterms:modified>
</cp:coreProperties>
</file>