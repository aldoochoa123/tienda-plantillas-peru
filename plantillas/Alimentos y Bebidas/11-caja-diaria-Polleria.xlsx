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<sst xmlns="http://schemas.openxmlformats.org/spreadsheetml/2006/main" count="129" uniqueCount="91">
  <si>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POLLERÍA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</si>
  <si>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</si>
  <si>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</si>
  <si>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</si>
  <si>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</si>
  <si>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</si>
  <si>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</si>
  <si>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</si>
  <si>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</si>
  <si>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</si>
  <si>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</si>
  <si>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</si>
  <si>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Combo familiar</t>
  </si>
  <si>
    <t>08:30</t>
  </si>
  <si>
    <t>B001-10001</t>
  </si>
  <si>
    <t>Yape</t>
  </si>
  <si>
    <t>Gaseosa 1.5L</t>
  </si>
  <si>
    <t>09:15</t>
  </si>
  <si>
    <t>B001-10002</t>
  </si>
  <si>
    <t>Plin</t>
  </si>
  <si>
    <t>Chicha morada</t>
  </si>
  <si>
    <t>09:45</t>
  </si>
  <si>
    <t>B001-10003</t>
  </si>
  <si>
    <t>Ensalada fresca</t>
  </si>
  <si>
    <t>10:20</t>
  </si>
  <si>
    <t>B001-10004</t>
  </si>
  <si>
    <t>Tarjeta</t>
  </si>
  <si>
    <t>1/4 de pollo</t>
  </si>
  <si>
    <t>11:00</t>
  </si>
  <si>
    <t>B001-10005</t>
  </si>
  <si>
    <t>11:40</t>
  </si>
  <si>
    <t>B001-10006</t>
  </si>
  <si>
    <t>Crema de ají</t>
  </si>
  <si>
    <t>12:15</t>
  </si>
  <si>
    <t>B001-10007</t>
  </si>
  <si>
    <t>Pollo entero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</si>
  <si>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</si>
  <si>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</si>
  <si>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</si>
  <si>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</si>
  <si>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</si>
  <si>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</si>
  <si>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</si>
  <si>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</si>
  <si>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</si>
  <si>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Papas familiares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</si>
  <si>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</si>
  <si>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</si>
  <si>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</si>
  <si>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</si>
  <si>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</si>
  <si>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</si>
  <si>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</si>
  <si>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</si>
  <si>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</si>
  <si>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</si>
  <si>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</si>
  <si>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</si>
  <si>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</si>
  <si>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</si>
  <si>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</si>
  <si>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</si>
  <si>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</si>
  <si>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</si>
  <si>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</si>
  <si>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</si>
  <si>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</si>
  <si>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</si>
  <si>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</si>
  <si>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</si>
  <si>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</si>
  <si>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</si>
  <si>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</si>
  <si>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</si>
  <si>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</si>
  <si>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</si>
  <si>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</si>
  <si>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</si>
  <si>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</si>
  <si>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POLLERÍA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</si>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</sst>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20.67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57.22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12.78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24.88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19.79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23</v>
      </c>
      <c r="E10" s="7">
        <v>28.49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53.18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35</v>
      </c>
      <c r="E12" s="7">
        <v>49.47</v>
      </c>
      <c r="F12" s="7">
        <f>ROUND(E12/1.18*0.18,2)</f>
      </c>
      <c r="G12" s="7">
        <f>E12</f>
      </c>
    </row>
    <row r="13" spans="1:7" x14ac:dyDescent="0.25">
      <c r="A13" s="4" t="s">
        <v>36</v>
      </c>
      <c r="B13" s="4" t="s">
        <v>37</v>
      </c>
      <c r="C13" s="4" t="s">
        <v>38</v>
      </c>
      <c r="D13" s="4" t="s">
        <v>12</v>
      </c>
      <c r="E13" s="5">
        <v>27.39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12</v>
      </c>
      <c r="E14" s="7">
        <v>7.47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12</v>
      </c>
      <c r="E15" s="5">
        <v>48.71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45</v>
      </c>
      <c r="E16" s="7">
        <v>48.59</v>
      </c>
      <c r="F16" s="7">
        <f>ROUND(E16/1.18*0.18,2)</f>
      </c>
      <c r="G16" s="7">
        <f>E16</f>
      </c>
    </row>
    <row r="17" spans="1:7" x14ac:dyDescent="0.25">
      <c r="A17" s="4" t="s">
        <v>46</v>
      </c>
      <c r="B17" s="4" t="s">
        <v>47</v>
      </c>
      <c r="C17" s="4" t="s">
        <v>19</v>
      </c>
      <c r="D17" s="4" t="s">
        <v>32</v>
      </c>
      <c r="E17" s="5">
        <v>48.83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23</v>
      </c>
      <c r="E18" s="7">
        <v>37.13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45</v>
      </c>
      <c r="E19" s="5">
        <v>53.9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16</v>
      </c>
      <c r="E20" s="7">
        <v>47.79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12</v>
      </c>
      <c r="E21" s="5">
        <v>31.13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12</v>
      </c>
      <c r="E22" s="7">
        <v>56.49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38</v>
      </c>
      <c r="D23" s="4" t="s">
        <v>27</v>
      </c>
      <c r="E23" s="5">
        <v>54.27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12</v>
      </c>
      <c r="E24" s="7">
        <v>40.65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0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0</v>
      </c>
      <c r="C8" s="7">
        <f>20*B8</f>
      </c>
    </row>
    <row r="9" spans="1:3" x14ac:dyDescent="0.25">
      <c r="A9" s="4" t="s">
        <v>71</v>
      </c>
      <c r="B9" s="8">
        <v>4</v>
      </c>
      <c r="C9" s="5">
        <f>10*B9</f>
      </c>
    </row>
    <row r="10" spans="1:3" x14ac:dyDescent="0.25">
      <c r="A10" s="6" t="s">
        <v>72</v>
      </c>
      <c r="B10" s="9">
        <v>3</v>
      </c>
      <c r="C10" s="7">
        <f>5*B10</f>
      </c>
    </row>
    <row r="11" spans="1:3" x14ac:dyDescent="0.25">
      <c r="A11" s="4" t="s">
        <v>73</v>
      </c>
      <c r="B11" s="8">
        <v>8</v>
      </c>
      <c r="C11" s="5">
        <f>2*B11</f>
      </c>
    </row>
    <row r="12" spans="1:3" x14ac:dyDescent="0.25">
      <c r="A12" s="6" t="s">
        <v>74</v>
      </c>
      <c r="B12" s="9">
        <v>7</v>
      </c>
      <c r="C12" s="7">
        <f>1*B12</f>
      </c>
    </row>
    <row r="13" spans="1:3" x14ac:dyDescent="0.25">
      <c r="A13" s="4" t="s">
        <v>75</v>
      </c>
      <c r="B13" s="8">
        <v>16</v>
      </c>
      <c r="C13" s="5">
        <f>0.5*B13</f>
      </c>
    </row>
    <row r="14" spans="1:3" x14ac:dyDescent="0.25">
      <c r="A14" s="6" t="s">
        <v>76</v>
      </c>
      <c r="B14" s="9">
        <v>15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38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{8F8BB6DF-FAA6-46D3-BC7D-C8C1FBA1AA72}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8BB6DF-FAA6-46D3-BC7D-C8C1FBA1AA7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