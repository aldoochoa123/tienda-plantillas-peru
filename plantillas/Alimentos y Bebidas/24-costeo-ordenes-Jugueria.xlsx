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Órdenes de Trabajo" state="visible" r:id="rId4"/>
  </sheets>
  <calcPr calcId="171027"/>
</workbook>
</file>

<file path=xl/sharedStrings.xml><?xml version="1.0" encoding="utf-8"?>
<sst xmlns="http://schemas.openxmlformats.org/spreadsheetml/2006/main" count="19" uniqueCount="19">
  <si>
    <t>COSTEO POR ÓRDENES DE TRABAJO — JUGUERÍA</t>
  </si>
  <si>
    <t>Costo de producción por lote o servicio</t>
  </si>
  <si>
    <t>Orden</t>
  </si>
  <si>
    <t>Materiales</t>
  </si>
  <si>
    <t>Mano de Obra</t>
  </si>
  <si>
    <t>CIF</t>
  </si>
  <si>
    <t>Costo Total</t>
  </si>
  <si>
    <t>Unidades</t>
  </si>
  <si>
    <t>Costo/Unidad</t>
  </si>
  <si>
    <t>OT-001</t>
  </si>
  <si>
    <t>OT-002</t>
  </si>
  <si>
    <t>OT-003</t>
  </si>
  <si>
    <t>OT-004</t>
  </si>
  <si>
    <t>OT-005</t>
  </si>
  <si>
    <t>OT-006</t>
  </si>
  <si>
    <t>OT-007</t>
  </si>
  <si>
    <t>OT-008</t>
  </si>
  <si>
    <t>TOTAL</t>
  </si>
  <si>
    <t>Juguería · Costeo porÓrdenes de Trabajo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</si>
</sst>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S/&quot; #,##0.00"/>
  </numFmts>
  <fonts count="6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i/>
      <color rgb="FF5B7268"/>
      <sz val="9"/>
      <name val="Calibri"/>
    </font>
  </fonts>
  <fills count="5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right" vertical="center"/>
    </xf>
    <xf numFmtId="3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right" vertical="center"/>
    </xf>
    <xf numFmtId="3" fontId="4" fillId="4" borderId="1" xfId="0" applyNumberFormat="1" applyFont="1" applyFill="1" applyBorder="1" applyAlignment="1">
      <alignment horizontal="right" vertical="center"/>
    </xf>
    <xf numFmtId="0" fontId="3" fillId="2" borderId="1" xfId="0" applyFont="1" applyFill="1" applyBorder="1" applyAlignment="1">
      <alignment horizontal="left" vertical="center"/>
    </xf>
    <xf numFmtId="164" fontId="3" fillId="2" borderId="1" xfId="0" applyNumberFormat="1" applyFont="1" applyFill="1" applyBorder="1" applyAlignment="1">
      <alignment horizontal="right" vertical="center"/>
    </xf>
    <xf numFmtId="3" fontId="3" fillId="2" borderId="1" xfId="0" applyNumberFormat="1" applyFont="1" applyFill="1" applyBorder="1" applyAlignment="1">
      <alignment horizontal="right" vertical="center"/>
    </xf>
    <xf numFmtId="0" fontId="5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5"/>
  <sheetViews>
    <sheetView workbookViewId="0" showGridLines="0"/>
  </sheetViews>
  <sheetFormatPr defaultRowHeight="15" outlineLevelRow="0" outlineLevelCol="0" x14ac:dyDescent="55"/>
  <cols>
    <col min="1" max="1" width="20" customWidth="1"/>
    <col min="2" max="7" width="14" customWidth="1"/>
  </cols>
  <sheetData>
    <row r="1" ht="32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ht="18" customHeight="1" spans="1:7" x14ac:dyDescent="0.25">
      <c r="A2" s="2" t="s">
        <v>1</v>
      </c>
      <c r="B2" s="2"/>
      <c r="C2" s="2"/>
      <c r="D2" s="2"/>
      <c r="E2" s="2"/>
      <c r="F2" s="2"/>
      <c r="G2" s="2"/>
    </row>
    <row r="4" ht="22" customHeight="1" spans="1:7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</row>
    <row r="5" spans="1:7" x14ac:dyDescent="0.25">
      <c r="A5" s="4" t="s">
        <v>9</v>
      </c>
      <c r="B5" s="5">
        <v>3996.31</v>
      </c>
      <c r="C5" s="5">
        <v>1405.56</v>
      </c>
      <c r="D5" s="5">
        <v>640.62</v>
      </c>
      <c r="E5" s="5">
        <f>B5+C5+D5</f>
      </c>
      <c r="F5" s="6">
        <v>82</v>
      </c>
      <c r="G5" s="5">
        <f>E5/F5</f>
      </c>
    </row>
    <row r="6" spans="1:7" x14ac:dyDescent="0.25">
      <c r="A6" s="7" t="s">
        <v>10</v>
      </c>
      <c r="B6" s="8">
        <v>536.87</v>
      </c>
      <c r="C6" s="8">
        <v>2230.44</v>
      </c>
      <c r="D6" s="8">
        <v>760.24</v>
      </c>
      <c r="E6" s="8">
        <f>B6+C6+D6</f>
      </c>
      <c r="F6" s="9">
        <v>108</v>
      </c>
      <c r="G6" s="8">
        <f>E6/F6</f>
      </c>
    </row>
    <row r="7" spans="1:7" x14ac:dyDescent="0.25">
      <c r="A7" s="4" t="s">
        <v>11</v>
      </c>
      <c r="B7" s="5">
        <v>2525.13</v>
      </c>
      <c r="C7" s="5">
        <v>1707.06</v>
      </c>
      <c r="D7" s="5">
        <v>595.54</v>
      </c>
      <c r="E7" s="5">
        <f>B7+C7+D7</f>
      </c>
      <c r="F7" s="6">
        <v>195</v>
      </c>
      <c r="G7" s="5">
        <f>E7/F7</f>
      </c>
    </row>
    <row r="8" spans="1:7" x14ac:dyDescent="0.25">
      <c r="A8" s="7" t="s">
        <v>12</v>
      </c>
      <c r="B8" s="8">
        <v>1710.36</v>
      </c>
      <c r="C8" s="8">
        <v>836.92</v>
      </c>
      <c r="D8" s="8">
        <v>576.48</v>
      </c>
      <c r="E8" s="8">
        <f>B8+C8+D8</f>
      </c>
      <c r="F8" s="9">
        <v>53</v>
      </c>
      <c r="G8" s="8">
        <f>E8/F8</f>
      </c>
    </row>
    <row r="9" spans="1:7" x14ac:dyDescent="0.25">
      <c r="A9" s="4" t="s">
        <v>13</v>
      </c>
      <c r="B9" s="5">
        <v>1964.51</v>
      </c>
      <c r="C9" s="5">
        <v>1026.81</v>
      </c>
      <c r="D9" s="5">
        <v>783.59</v>
      </c>
      <c r="E9" s="5">
        <f>B9+C9+D9</f>
      </c>
      <c r="F9" s="6">
        <v>142</v>
      </c>
      <c r="G9" s="5">
        <f>E9/F9</f>
      </c>
    </row>
    <row r="10" spans="1:7" x14ac:dyDescent="0.25">
      <c r="A10" s="7" t="s">
        <v>14</v>
      </c>
      <c r="B10" s="8">
        <v>3984.41</v>
      </c>
      <c r="C10" s="8">
        <v>329.64</v>
      </c>
      <c r="D10" s="8">
        <v>149.72</v>
      </c>
      <c r="E10" s="8">
        <f>B10+C10+D10</f>
      </c>
      <c r="F10" s="9">
        <v>100</v>
      </c>
      <c r="G10" s="8">
        <f>E10/F10</f>
      </c>
    </row>
    <row r="11" spans="1:7" x14ac:dyDescent="0.25">
      <c r="A11" s="4" t="s">
        <v>15</v>
      </c>
      <c r="B11" s="5">
        <v>1787.45</v>
      </c>
      <c r="C11" s="5">
        <v>1569.81</v>
      </c>
      <c r="D11" s="5">
        <v>874</v>
      </c>
      <c r="E11" s="5">
        <f>B11+C11+D11</f>
      </c>
      <c r="F11" s="6">
        <v>240</v>
      </c>
      <c r="G11" s="5">
        <f>E11/F11</f>
      </c>
    </row>
    <row r="12" spans="1:7" x14ac:dyDescent="0.25">
      <c r="A12" s="7" t="s">
        <v>16</v>
      </c>
      <c r="B12" s="8">
        <v>2036.18</v>
      </c>
      <c r="C12" s="8">
        <v>746.02</v>
      </c>
      <c r="D12" s="8">
        <v>556.9</v>
      </c>
      <c r="E12" s="8">
        <f>B12+C12+D12</f>
      </c>
      <c r="F12" s="9">
        <v>230</v>
      </c>
      <c r="G12" s="8">
        <f>E12/F12</f>
      </c>
    </row>
    <row r="13" spans="1:7" x14ac:dyDescent="0.25">
      <c r="A13" s="10" t="s">
        <v>17</v>
      </c>
      <c r="B13" s="11">
        <f>SUM(B5:B12)</f>
      </c>
      <c r="C13" s="11">
        <f>SUM(C5:C12)</f>
      </c>
      <c r="D13" s="11">
        <f>SUM(D5:D12)</f>
      </c>
      <c r="E13" s="11">
        <f>SUM(E5:E12)</f>
      </c>
      <c r="F13" s="12">
        <f>SUM(F5:F12)</f>
      </c>
      <c r="G13" s="11">
        <f>E13/F13</f>
      </c>
    </row>
    <row r="15" spans="1:7" x14ac:dyDescent="0.25">
      <c r="A15" s="13" t="s">
        <v>18</v>
      </c>
      <c r="B15" s="13"/>
      <c r="C15" s="13"/>
      <c r="D15" s="13"/>
      <c r="E15" s="13"/>
      <c r="F15" s="13"/>
      <c r="G15" s="13"/>
    </row>
  </sheetData>
  <mergeCells count="3">
    <mergeCell ref="A1:G1"/>
    <mergeCell ref="A2:G2"/>
    <mergeCell ref="A15:G1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Órdenes de Trabajo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2026-08-23T16:46:22Z</dcterms:created>
  <dcterms:modified xsi:type="dcterms:W3CDTF">2026-08-23T16:46:22Z</dcterms:modified>
</cp:coreProperties>
</file>