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rativo" state="visible" r:id="rId4"/>
  </sheets>
  <calcPr calcId="171027"/>
</workbook>
</file>

<file path=xl/sharedStrings.xml><?xml version="1.0" encoding="utf-8"?>
<sst xmlns="http://schemas.openxmlformats.org/spreadsheetml/2006/main" count="31" uniqueCount="28">
  <si>
    <t>ESTADOS COMPARATIVOS — FRUTAS Y VERDURAS</t>
  </si>
  <si>
    <t>Tres ejercicios: 2024 - 2025 - 2026</t>
  </si>
  <si>
    <t>Concepto</t>
  </si>
  <si>
    <t>2024</t>
  </si>
  <si>
    <t>2025</t>
  </si>
  <si>
    <t>2026</t>
  </si>
  <si>
    <t>Var 25-24</t>
  </si>
  <si>
    <t>Var 26-25</t>
  </si>
  <si>
    <t>INGRESOS</t>
  </si>
  <si>
    <t xml:space="preserve">  Ventas Nacionales</t>
  </si>
  <si>
    <t xml:space="preserve">  Exportaciones</t>
  </si>
  <si>
    <t xml:space="preserve">  Otros Ingresos</t>
  </si>
  <si>
    <t>Subtotal</t>
  </si>
  <si>
    <t>COSTOS</t>
  </si>
  <si>
    <t xml:space="preserve">  Costo de Mercadería</t>
  </si>
  <si>
    <t xml:space="preserve">  Costo de Mano de Obra</t>
  </si>
  <si>
    <t>GASTOS ADMINISTRATIVOS</t>
  </si>
  <si>
    <t xml:space="preserve">  Sueldos y Salarios</t>
  </si>
  <si>
    <t xml:space="preserve">  Alquileres</t>
  </si>
  <si>
    <t xml:space="preserve">  Servicios Básicos</t>
  </si>
  <si>
    <t xml:space="preserve">  Útiles y Office</t>
  </si>
  <si>
    <t xml:space="preserve">  Depreciación</t>
  </si>
  <si>
    <t>GASTOS COMERCIALES</t>
  </si>
  <si>
    <t xml:space="preserve">  Comisiones</t>
  </si>
  <si>
    <t xml:space="preserve">  Publicidad y Promoción</t>
  </si>
  <si>
    <t xml:space="preserve">  Transporte y Envíos</t>
  </si>
  <si>
    <t xml:space="preserve">  Embalaje</t>
  </si>
  <si>
    <t>Frutas y Verduras · Estados Comparativos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</si>
</sst>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  <fill>
      <patternFill patternType="solid">
        <fgColor rgb="FFDC2626"/>
      </patternFill>
    </fill>
    <fill>
      <patternFill patternType="solid">
        <fgColor rgb="FFF59E0B"/>
      </patternFill>
    </fill>
    <fill>
      <patternFill patternType="solid">
        <fgColor rgb="FF2563E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right" vertical="center"/>
    </xf>
    <xf numFmtId="0" fontId="5" fillId="3" borderId="1" xfId="0" applyFont="1" applyFill="1" applyBorder="1" applyAlignment="1">
      <alignment horizontal="left" vertical="center"/>
    </xf>
    <xf numFmtId="164" fontId="5" fillId="3" borderId="1" xfId="0" applyNumberFormat="1" applyFont="1" applyFill="1" applyBorder="1" applyAlignment="1">
      <alignment horizontal="right" vertical="center"/>
    </xf>
    <xf numFmtId="0" fontId="3" fillId="5" borderId="0" xfId="0" applyFont="1" applyFill="1" applyAlignment="1">
      <alignment horizontal="left" vertical="center"/>
    </xf>
    <xf numFmtId="0" fontId="5" fillId="5" borderId="1" xfId="0" applyFont="1" applyFill="1" applyBorder="1" applyAlignment="1">
      <alignment horizontal="left" vertical="center"/>
    </xf>
    <xf numFmtId="164" fontId="5" fillId="5" borderId="1" xfId="0" applyNumberFormat="1" applyFont="1" applyFill="1" applyBorder="1" applyAlignment="1">
      <alignment horizontal="right" vertical="center"/>
    </xf>
    <xf numFmtId="0" fontId="3" fillId="6" borderId="0" xfId="0" applyFont="1" applyFill="1" applyAlignment="1">
      <alignment horizontal="left" vertical="center"/>
    </xf>
    <xf numFmtId="0" fontId="5" fillId="6" borderId="1" xfId="0" applyFont="1" applyFill="1" applyBorder="1" applyAlignment="1">
      <alignment horizontal="left" vertical="center"/>
    </xf>
    <xf numFmtId="164" fontId="5" fillId="6" borderId="1" xfId="0" applyNumberFormat="1" applyFont="1" applyFill="1" applyBorder="1" applyAlignment="1">
      <alignment horizontal="right" vertical="center"/>
    </xf>
    <xf numFmtId="0" fontId="3" fillId="7" borderId="0" xfId="0" applyFont="1" applyFill="1" applyAlignment="1">
      <alignment horizontal="left" vertical="center"/>
    </xf>
    <xf numFmtId="0" fontId="5" fillId="7" borderId="1" xfId="0" applyFont="1" applyFill="1" applyBorder="1" applyAlignment="1">
      <alignment horizontal="left" vertical="center"/>
    </xf>
    <xf numFmtId="164" fontId="5" fillId="7" borderId="1" xfId="0" applyNumberFormat="1" applyFont="1" applyFill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9"/>
  <sheetViews>
    <sheetView workbookViewId="0" showGridLines="0"/>
  </sheetViews>
  <sheetFormatPr defaultRowHeight="15" outlineLevelRow="0" outlineLevelCol="0" x14ac:dyDescent="55"/>
  <cols>
    <col min="1" max="1" width="32" customWidth="1"/>
    <col min="2" max="6" width="14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ht="22" customHeight="1" spans="1:6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</row>
    <row r="5" spans="1:6" x14ac:dyDescent="0.25">
      <c r="A5" s="4" t="s">
        <v>8</v>
      </c>
      <c r="B5" s="4"/>
      <c r="C5" s="4"/>
      <c r="D5" s="4"/>
      <c r="E5" s="4"/>
      <c r="F5" s="4"/>
    </row>
    <row r="6" spans="1:6" x14ac:dyDescent="0.25">
      <c r="A6" s="5" t="s">
        <v>9</v>
      </c>
      <c r="B6" s="6">
        <v>26594.11</v>
      </c>
      <c r="C6" s="6">
        <v>25808.48</v>
      </c>
      <c r="D6" s="6">
        <v>30815.02</v>
      </c>
      <c r="E6" s="6">
        <f>C6-B6</f>
      </c>
      <c r="F6" s="6">
        <f>D6-C6</f>
      </c>
    </row>
    <row r="7" spans="1:6" x14ac:dyDescent="0.25">
      <c r="A7" s="7" t="s">
        <v>10</v>
      </c>
      <c r="B7" s="8">
        <v>31478.27</v>
      </c>
      <c r="C7" s="8">
        <v>31330.96</v>
      </c>
      <c r="D7" s="8">
        <v>31339.28</v>
      </c>
      <c r="E7" s="8">
        <f>C7-B7</f>
      </c>
      <c r="F7" s="8">
        <f>D7-C7</f>
      </c>
    </row>
    <row r="8" spans="1:6" x14ac:dyDescent="0.25">
      <c r="A8" s="5" t="s">
        <v>11</v>
      </c>
      <c r="B8" s="6">
        <v>7101.83</v>
      </c>
      <c r="C8" s="6">
        <v>7325.81</v>
      </c>
      <c r="D8" s="6">
        <v>6703.11</v>
      </c>
      <c r="E8" s="6">
        <f>C8-B8</f>
      </c>
      <c r="F8" s="6">
        <f>D8-C8</f>
      </c>
    </row>
    <row r="9" spans="1:6" x14ac:dyDescent="0.25">
      <c r="A9" s="9" t="s">
        <v>12</v>
      </c>
      <c r="B9" s="10">
        <f>SUM(B6:B8)</f>
      </c>
      <c r="C9" s="10">
        <f>SUM(C6:C8)</f>
      </c>
      <c r="D9" s="10">
        <f>SUM(D6:D8)</f>
      </c>
      <c r="E9" s="10">
        <f>C9-B9</f>
      </c>
      <c r="F9" s="10">
        <f>D9-C9</f>
      </c>
    </row>
    <row r="10" spans="1:6" x14ac:dyDescent="0.25">
      <c r="A10" s="11" t="s">
        <v>13</v>
      </c>
      <c r="B10" s="11"/>
      <c r="C10" s="11"/>
      <c r="D10" s="11"/>
      <c r="E10" s="11"/>
      <c r="F10" s="11"/>
    </row>
    <row r="11" spans="1:6" x14ac:dyDescent="0.25">
      <c r="A11" s="5" t="s">
        <v>14</v>
      </c>
      <c r="B11" s="6">
        <v>19430.87</v>
      </c>
      <c r="C11" s="6">
        <v>22225.88</v>
      </c>
      <c r="D11" s="6">
        <v>21626.98</v>
      </c>
      <c r="E11" s="6">
        <f>C11-B11</f>
      </c>
      <c r="F11" s="6">
        <f>D11-C11</f>
      </c>
    </row>
    <row r="12" spans="1:6" x14ac:dyDescent="0.25">
      <c r="A12" s="7" t="s">
        <v>15</v>
      </c>
      <c r="B12" s="8">
        <v>31079.89</v>
      </c>
      <c r="C12" s="8">
        <v>33182.41</v>
      </c>
      <c r="D12" s="8">
        <v>32468.31</v>
      </c>
      <c r="E12" s="8">
        <f>C12-B12</f>
      </c>
      <c r="F12" s="8">
        <f>D12-C12</f>
      </c>
    </row>
    <row r="13" spans="1:6" x14ac:dyDescent="0.25">
      <c r="A13" s="12" t="s">
        <v>12</v>
      </c>
      <c r="B13" s="13">
        <f>SUM(B11:B12)</f>
      </c>
      <c r="C13" s="13">
        <f>SUM(C11:C12)</f>
      </c>
      <c r="D13" s="13">
        <f>SUM(D11:D12)</f>
      </c>
      <c r="E13" s="13">
        <f>C13-B13</f>
      </c>
      <c r="F13" s="13">
        <f>D13-C13</f>
      </c>
    </row>
    <row r="14" spans="1:6" x14ac:dyDescent="0.25">
      <c r="A14" s="14" t="s">
        <v>16</v>
      </c>
      <c r="B14" s="14"/>
      <c r="C14" s="14"/>
      <c r="D14" s="14"/>
      <c r="E14" s="14"/>
      <c r="F14" s="14"/>
    </row>
    <row r="15" spans="1:6" x14ac:dyDescent="0.25">
      <c r="A15" s="5" t="s">
        <v>17</v>
      </c>
      <c r="B15" s="6">
        <v>29214.68</v>
      </c>
      <c r="C15" s="6">
        <v>32160.79</v>
      </c>
      <c r="D15" s="6">
        <v>32695.91</v>
      </c>
      <c r="E15" s="6">
        <f>C15-B15</f>
      </c>
      <c r="F15" s="6">
        <f>D15-C15</f>
      </c>
    </row>
    <row r="16" spans="1:6" x14ac:dyDescent="0.25">
      <c r="A16" s="7" t="s">
        <v>18</v>
      </c>
      <c r="B16" s="8">
        <v>28615.44</v>
      </c>
      <c r="C16" s="8">
        <v>30239.31</v>
      </c>
      <c r="D16" s="8">
        <v>29757.7</v>
      </c>
      <c r="E16" s="8">
        <f>C16-B16</f>
      </c>
      <c r="F16" s="8">
        <f>D16-C16</f>
      </c>
    </row>
    <row r="17" spans="1:6" x14ac:dyDescent="0.25">
      <c r="A17" s="5" t="s">
        <v>19</v>
      </c>
      <c r="B17" s="6">
        <v>32507.79</v>
      </c>
      <c r="C17" s="6">
        <v>36258.19</v>
      </c>
      <c r="D17" s="6">
        <v>39647.2</v>
      </c>
      <c r="E17" s="6">
        <f>C17-B17</f>
      </c>
      <c r="F17" s="6">
        <f>D17-C17</f>
      </c>
    </row>
    <row r="18" spans="1:6" x14ac:dyDescent="0.25">
      <c r="A18" s="7" t="s">
        <v>20</v>
      </c>
      <c r="B18" s="8">
        <v>36608.84</v>
      </c>
      <c r="C18" s="8">
        <v>41279.31</v>
      </c>
      <c r="D18" s="8">
        <v>37185.28</v>
      </c>
      <c r="E18" s="8">
        <f>C18-B18</f>
      </c>
      <c r="F18" s="8">
        <f>D18-C18</f>
      </c>
    </row>
    <row r="19" spans="1:6" x14ac:dyDescent="0.25">
      <c r="A19" s="5" t="s">
        <v>21</v>
      </c>
      <c r="B19" s="6">
        <v>10705.53</v>
      </c>
      <c r="C19" s="6">
        <v>10576.36</v>
      </c>
      <c r="D19" s="6">
        <v>12304.03</v>
      </c>
      <c r="E19" s="6">
        <f>C19-B19</f>
      </c>
      <c r="F19" s="6">
        <f>D19-C19</f>
      </c>
    </row>
    <row r="20" spans="1:6" x14ac:dyDescent="0.25">
      <c r="A20" s="15" t="s">
        <v>12</v>
      </c>
      <c r="B20" s="16">
        <f>SUM(B15:B19)</f>
      </c>
      <c r="C20" s="16">
        <f>SUM(C15:C19)</f>
      </c>
      <c r="D20" s="16">
        <f>SUM(D15:D19)</f>
      </c>
      <c r="E20" s="16">
        <f>C20-B20</f>
      </c>
      <c r="F20" s="16">
        <f>D20-C20</f>
      </c>
    </row>
    <row r="21" spans="1:6" x14ac:dyDescent="0.25">
      <c r="A21" s="17" t="s">
        <v>22</v>
      </c>
      <c r="B21" s="17"/>
      <c r="C21" s="17"/>
      <c r="D21" s="17"/>
      <c r="E21" s="17"/>
      <c r="F21" s="17"/>
    </row>
    <row r="22" spans="1:6" x14ac:dyDescent="0.25">
      <c r="A22" s="5" t="s">
        <v>23</v>
      </c>
      <c r="B22" s="6">
        <v>16556.68</v>
      </c>
      <c r="C22" s="6">
        <v>16449.31</v>
      </c>
      <c r="D22" s="6">
        <v>19290.39</v>
      </c>
      <c r="E22" s="6">
        <f>C22-B22</f>
      </c>
      <c r="F22" s="6">
        <f>D22-C22</f>
      </c>
    </row>
    <row r="23" spans="1:6" x14ac:dyDescent="0.25">
      <c r="A23" s="7" t="s">
        <v>24</v>
      </c>
      <c r="B23" s="8">
        <v>10055.93</v>
      </c>
      <c r="C23" s="8">
        <v>10160.76</v>
      </c>
      <c r="D23" s="8">
        <v>11282.89</v>
      </c>
      <c r="E23" s="8">
        <f>C23-B23</f>
      </c>
      <c r="F23" s="8">
        <f>D23-C23</f>
      </c>
    </row>
    <row r="24" spans="1:6" x14ac:dyDescent="0.25">
      <c r="A24" s="5" t="s">
        <v>25</v>
      </c>
      <c r="B24" s="6">
        <v>10621.33</v>
      </c>
      <c r="C24" s="6">
        <v>11711.15</v>
      </c>
      <c r="D24" s="6">
        <v>10732.4</v>
      </c>
      <c r="E24" s="6">
        <f>C24-B24</f>
      </c>
      <c r="F24" s="6">
        <f>D24-C24</f>
      </c>
    </row>
    <row r="25" spans="1:6" x14ac:dyDescent="0.25">
      <c r="A25" s="7" t="s">
        <v>26</v>
      </c>
      <c r="B25" s="8">
        <v>41764.83</v>
      </c>
      <c r="C25" s="8">
        <v>48589.91</v>
      </c>
      <c r="D25" s="8">
        <v>53616.64</v>
      </c>
      <c r="E25" s="8">
        <f>C25-B25</f>
      </c>
      <c r="F25" s="8">
        <f>D25-C25</f>
      </c>
    </row>
    <row r="26" spans="1:6" x14ac:dyDescent="0.25">
      <c r="A26" s="18" t="s">
        <v>12</v>
      </c>
      <c r="B26" s="19">
        <f>SUM(B22:B25)</f>
      </c>
      <c r="C26" s="19">
        <f>SUM(C22:C25)</f>
      </c>
      <c r="D26" s="19">
        <f>SUM(D22:D25)</f>
      </c>
      <c r="E26" s="19">
        <f>C26-B26</f>
      </c>
      <c r="F26" s="19">
        <f>D26-C26</f>
      </c>
    </row>
    <row r="29" spans="1:6" x14ac:dyDescent="0.25">
      <c r="A29" s="20" t="s">
        <v>27</v>
      </c>
      <c r="B29" s="20"/>
      <c r="C29" s="20"/>
      <c r="D29" s="20"/>
      <c r="E29" s="20"/>
      <c r="F29" s="20"/>
    </row>
  </sheetData>
  <mergeCells count="7">
    <mergeCell ref="A1:F1"/>
    <mergeCell ref="A2:F2"/>
    <mergeCell ref="A5:F5"/>
    <mergeCell ref="A10:F10"/>
    <mergeCell ref="A14:F14"/>
    <mergeCell ref="A21:F21"/>
    <mergeCell ref="A29:F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Comparativo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2026-08-23T16:46:23Z</dcterms:created>
  <dcterms:modified xsi:type="dcterms:W3CDTF">2026-08-23T16:46:23Z</dcterms:modified>
</cp:coreProperties>
</file>