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<sst xmlns="http://schemas.openxmlformats.org/spreadsheetml/2006/main" count="129" uniqueCount="90">
  <si>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BODEGA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</si>
  <si>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</si>
  <si>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</si>
  <si>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</si>
  <si>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</si>
  <si>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</si>
  <si>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</si>
  <si>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</si>
  <si>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</si>
  <si>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</si>
  <si>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</si>
  <si>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</si>
  <si>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Atún lata</t>
  </si>
  <si>
    <t>08:30</t>
  </si>
  <si>
    <t>B001-10001</t>
  </si>
  <si>
    <t>Yape</t>
  </si>
  <si>
    <t>Azúcar 1kg</t>
  </si>
  <si>
    <t>09:15</t>
  </si>
  <si>
    <t>B001-10002</t>
  </si>
  <si>
    <t>Plin</t>
  </si>
  <si>
    <t>09:45</t>
  </si>
  <si>
    <t>B001-10003</t>
  </si>
  <si>
    <t>10:20</t>
  </si>
  <si>
    <t>B001-10004</t>
  </si>
  <si>
    <t>Tarjeta</t>
  </si>
  <si>
    <t>Aceite 1L</t>
  </si>
  <si>
    <t>11:00</t>
  </si>
  <si>
    <t>B001-10005</t>
  </si>
  <si>
    <t>11:40</t>
  </si>
  <si>
    <t>B001-10006</t>
  </si>
  <si>
    <t>Fideos 800g</t>
  </si>
  <si>
    <t>12:15</t>
  </si>
  <si>
    <t>B001-10007</t>
  </si>
  <si>
    <t>12:50</t>
  </si>
  <si>
    <t>B001-10008</t>
  </si>
  <si>
    <t>Transferencia</t>
  </si>
  <si>
    <t>Gaseosa 1.5L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</si>
  <si>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</si>
  <si>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</si>
  <si>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</si>
  <si>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</si>
  <si>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</si>
  <si>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</si>
  <si>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</si>
  <si>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</si>
  <si>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</si>
  <si>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</si>
  <si>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Pan ciabatta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</si>
  <si>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</si>
  <si>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</si>
  <si>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</si>
  <si>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</si>
  <si>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</si>
  <si>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</si>
  <si>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</si>
  <si>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</si>
  <si>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Leche evaporada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</si>
  <si>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</si>
  <si>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</si>
  <si>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</si>
  <si>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</si>
  <si>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</si>
  <si>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</si>
  <si>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</si>
  <si>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</si>
  <si>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</si>
  <si>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</si>
  <si>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</si>
  <si>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</si>
  <si>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</si>
  <si>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</si>
  <si>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</si>
  <si>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</si>
  <si>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</si>
  <si>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</si>
  <si>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</si>
  <si>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</si>
  <si>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</si>
  <si>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BODEGA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</si>
  <si>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</si>
  <si>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</si>
  <si>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</si>
  <si>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</si>
  <si>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</si>
  <si>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</si>
  <si>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</si>
  <si>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</si>
  <si>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</si>
  <si>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</si>
  <si>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Bodega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</si>
</sst>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24.28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49.17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46.86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12</v>
      </c>
      <c r="E8" s="7">
        <v>18.15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49.32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25</v>
      </c>
      <c r="E10" s="7">
        <v>35.22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30</v>
      </c>
      <c r="E11" s="5">
        <v>11.5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30</v>
      </c>
      <c r="E12" s="7">
        <v>33.9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47.69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36</v>
      </c>
      <c r="E14" s="7">
        <v>36.18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25</v>
      </c>
      <c r="E15" s="5">
        <v>19.52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30</v>
      </c>
      <c r="E16" s="7">
        <v>49.52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12</v>
      </c>
      <c r="E17" s="5">
        <v>46.52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19.56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24</v>
      </c>
      <c r="D19" s="4" t="s">
        <v>16</v>
      </c>
      <c r="E19" s="5">
        <v>41.65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47</v>
      </c>
      <c r="E20" s="7">
        <v>30.78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12</v>
      </c>
      <c r="E21" s="5">
        <v>35.73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56</v>
      </c>
      <c r="E22" s="7">
        <v>16.53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36</v>
      </c>
      <c r="E23" s="5">
        <v>53.44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12</v>
      </c>
      <c r="E24" s="7">
        <v>36.43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4</v>
      </c>
      <c r="C7" s="5">
        <f>50*B7</f>
      </c>
    </row>
    <row r="8" spans="1:3" x14ac:dyDescent="0.25">
      <c r="A8" s="6" t="s">
        <v>69</v>
      </c>
      <c r="B8" s="9">
        <v>7</v>
      </c>
      <c r="C8" s="7">
        <f>20*B8</f>
      </c>
    </row>
    <row r="9" spans="1:3" x14ac:dyDescent="0.25">
      <c r="A9" s="4" t="s">
        <v>70</v>
      </c>
      <c r="B9" s="8">
        <v>12</v>
      </c>
      <c r="C9" s="5">
        <f>10*B9</f>
      </c>
    </row>
    <row r="10" spans="1:3" x14ac:dyDescent="0.25">
      <c r="A10" s="6" t="s">
        <v>71</v>
      </c>
      <c r="B10" s="9">
        <v>8</v>
      </c>
      <c r="C10" s="7">
        <f>5*B10</f>
      </c>
    </row>
    <row r="11" spans="1:3" x14ac:dyDescent="0.25">
      <c r="A11" s="4" t="s">
        <v>72</v>
      </c>
      <c r="B11" s="8">
        <v>8</v>
      </c>
      <c r="C11" s="5">
        <f>2*B11</f>
      </c>
    </row>
    <row r="12" spans="1:3" x14ac:dyDescent="0.25">
      <c r="A12" s="6" t="s">
        <v>73</v>
      </c>
      <c r="B12" s="9">
        <v>10</v>
      </c>
      <c r="C12" s="7">
        <f>1*B12</f>
      </c>
    </row>
    <row r="13" spans="1:3" x14ac:dyDescent="0.25">
      <c r="A13" s="4" t="s">
        <v>74</v>
      </c>
      <c r="B13" s="8">
        <v>6</v>
      </c>
      <c r="C13" s="5">
        <f>0.5*B13</f>
      </c>
    </row>
    <row r="14" spans="1:3" x14ac:dyDescent="0.25">
      <c r="A14" s="6" t="s">
        <v>75</v>
      </c>
      <c r="B14" s="9">
        <v>19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{CCAD8E38-FBEA-4577-BE79-216D9CA13347}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AD8E38-FBEA-4577-BE79-216D9CA1334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