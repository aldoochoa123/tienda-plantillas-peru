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<sst xmlns="http://schemas.openxmlformats.org/spreadsheetml/2006/main" count="174" uniqueCount="67">
  <si>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RESTAURANTE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</si>
  <si>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</si>
  <si>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</si>
  <si>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</si>
  <si>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</si>
  <si>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</si>
  <si>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</si>
  <si>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</si>
  <si>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</si>
  <si>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</si>
  <si>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</si>
  <si>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</si>
  <si>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</si>
  <si>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Alquiler mensual</t>
  </si>
  <si>
    <t>Factura</t>
  </si>
  <si>
    <t>20763927648</t>
  </si>
  <si>
    <t>Abr</t>
  </si>
  <si>
    <t/>
  </si>
  <si>
    <t>Recibo de luz ENEL</t>
  </si>
  <si>
    <t>20644063357</t>
  </si>
  <si>
    <t>Ene</t>
  </si>
  <si>
    <t>Servicios</t>
  </si>
  <si>
    <t>20915340525</t>
  </si>
  <si>
    <t>Mar</t>
  </si>
  <si>
    <t>Alquiler</t>
  </si>
  <si>
    <t>Imprevisto</t>
  </si>
  <si>
    <t>20844831143</t>
  </si>
  <si>
    <t>20389664162</t>
  </si>
  <si>
    <t>Jul</t>
  </si>
  <si>
    <t>Insumos</t>
  </si>
  <si>
    <t>Flete de carga</t>
  </si>
  <si>
    <t>Boleta</t>
  </si>
  <si>
    <t>Marketing</t>
  </si>
  <si>
    <t>20251724372</t>
  </si>
  <si>
    <t>Feb</t>
  </si>
  <si>
    <t>20527073800</t>
  </si>
  <si>
    <t>Combustible</t>
  </si>
  <si>
    <t>20853803111</t>
  </si>
  <si>
    <t>May</t>
  </si>
  <si>
    <t>20885246449</t>
  </si>
  <si>
    <t>20928521684</t>
  </si>
  <si>
    <t>Internet Claro</t>
  </si>
  <si>
    <t>20312667416</t>
  </si>
  <si>
    <t>Agua SEDAPAL</t>
  </si>
  <si>
    <t>20442639683</t>
  </si>
  <si>
    <t>Jun</t>
  </si>
  <si>
    <t>Personal</t>
  </si>
  <si>
    <t>20475465318</t>
  </si>
  <si>
    <t>Compra de mercadería</t>
  </si>
  <si>
    <t>20142989289</t>
  </si>
  <si>
    <t>20627527322</t>
  </si>
  <si>
    <t>20215719765</t>
  </si>
  <si>
    <t>RESUMEN DE GASTOS — RESTAURANTE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</si>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</sst>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346.4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46043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258.3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46108</v>
      </c>
      <c r="B7" s="5" t="s">
        <v>21</v>
      </c>
      <c r="C7" s="5" t="s">
        <v>18</v>
      </c>
      <c r="D7" s="5" t="s">
        <v>14</v>
      </c>
      <c r="E7" s="5" t="s">
        <v>22</v>
      </c>
      <c r="F7" s="6">
        <v>96.83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46023</v>
      </c>
      <c r="B8" s="8" t="s">
        <v>24</v>
      </c>
      <c r="C8" s="8" t="s">
        <v>25</v>
      </c>
      <c r="D8" s="8" t="s">
        <v>14</v>
      </c>
      <c r="E8" s="8" t="s">
        <v>26</v>
      </c>
      <c r="F8" s="9">
        <v>582.84</v>
      </c>
      <c r="G8" s="9">
        <f>ROUND(F8*0.18,2)</f>
      </c>
      <c r="H8" s="9">
        <f>F8+G8</f>
      </c>
      <c r="I8" s="8" t="s">
        <v>20</v>
      </c>
      <c r="J8" s="8" t="s">
        <v>17</v>
      </c>
    </row>
    <row r="9" spans="1:10" x14ac:dyDescent="0.25">
      <c r="A9" s="4">
        <v>46204</v>
      </c>
      <c r="B9" s="5" t="s">
        <v>12</v>
      </c>
      <c r="C9" s="5" t="s">
        <v>13</v>
      </c>
      <c r="D9" s="5" t="s">
        <v>14</v>
      </c>
      <c r="E9" s="5" t="s">
        <v>27</v>
      </c>
      <c r="F9" s="6">
        <v>741.99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46124</v>
      </c>
      <c r="B10" s="8" t="s">
        <v>29</v>
      </c>
      <c r="C10" s="8" t="s">
        <v>30</v>
      </c>
      <c r="D10" s="8" t="s">
        <v>31</v>
      </c>
      <c r="E10" s="8" t="s">
        <v>17</v>
      </c>
      <c r="F10" s="9">
        <v>427.73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46034</v>
      </c>
      <c r="B11" s="5" t="s">
        <v>21</v>
      </c>
      <c r="C11" s="5" t="s">
        <v>30</v>
      </c>
      <c r="D11" s="5" t="s">
        <v>14</v>
      </c>
      <c r="E11" s="5" t="s">
        <v>17</v>
      </c>
      <c r="F11" s="6">
        <v>324.39</v>
      </c>
      <c r="G11" s="6">
        <f>ROUND(F11*0.18,2)</f>
      </c>
      <c r="H11" s="6">
        <f>F11+G11</f>
      </c>
      <c r="I11" s="5" t="s">
        <v>20</v>
      </c>
      <c r="J11" s="5" t="s">
        <v>17</v>
      </c>
    </row>
    <row r="12" spans="1:10" x14ac:dyDescent="0.25">
      <c r="A12" s="7">
        <v>46080</v>
      </c>
      <c r="B12" s="8" t="s">
        <v>32</v>
      </c>
      <c r="C12" s="8" t="s">
        <v>18</v>
      </c>
      <c r="D12" s="8" t="s">
        <v>14</v>
      </c>
      <c r="E12" s="8" t="s">
        <v>33</v>
      </c>
      <c r="F12" s="9">
        <v>37.6</v>
      </c>
      <c r="G12" s="9">
        <f>ROUND(F12*0.18,2)</f>
      </c>
      <c r="H12" s="9">
        <f>F12+G12</f>
      </c>
      <c r="I12" s="8" t="s">
        <v>34</v>
      </c>
      <c r="J12" s="8" t="s">
        <v>17</v>
      </c>
    </row>
    <row r="13" spans="1:10" x14ac:dyDescent="0.25">
      <c r="A13" s="4">
        <v>46078</v>
      </c>
      <c r="B13" s="5" t="s">
        <v>29</v>
      </c>
      <c r="C13" s="5" t="s">
        <v>25</v>
      </c>
      <c r="D13" s="5" t="s">
        <v>31</v>
      </c>
      <c r="E13" s="5" t="s">
        <v>35</v>
      </c>
      <c r="F13" s="6">
        <v>692.49</v>
      </c>
      <c r="G13" s="6">
        <f>ROUND(F13*0.18,2)</f>
      </c>
      <c r="H13" s="6">
        <f>F13+G13</f>
      </c>
      <c r="I13" s="5" t="s">
        <v>34</v>
      </c>
      <c r="J13" s="5" t="s">
        <v>17</v>
      </c>
    </row>
    <row r="14" spans="1:10" x14ac:dyDescent="0.25">
      <c r="A14" s="7">
        <v>46157</v>
      </c>
      <c r="B14" s="8" t="s">
        <v>29</v>
      </c>
      <c r="C14" s="8" t="s">
        <v>36</v>
      </c>
      <c r="D14" s="8" t="s">
        <v>31</v>
      </c>
      <c r="E14" s="8" t="s">
        <v>37</v>
      </c>
      <c r="F14" s="9">
        <v>724.01</v>
      </c>
      <c r="G14" s="9">
        <f>ROUND(F14*0.18,2)</f>
      </c>
      <c r="H14" s="9">
        <f>F14+G14</f>
      </c>
      <c r="I14" s="8" t="s">
        <v>38</v>
      </c>
      <c r="J14" s="8" t="s">
        <v>17</v>
      </c>
    </row>
    <row r="15" spans="1:10" x14ac:dyDescent="0.25">
      <c r="A15" s="4">
        <v>46149</v>
      </c>
      <c r="B15" s="5" t="s">
        <v>24</v>
      </c>
      <c r="C15" s="5" t="s">
        <v>18</v>
      </c>
      <c r="D15" s="5" t="s">
        <v>14</v>
      </c>
      <c r="E15" s="5" t="s">
        <v>39</v>
      </c>
      <c r="F15" s="6">
        <v>759.57</v>
      </c>
      <c r="G15" s="6">
        <f>ROUND(F15*0.18,2)</f>
      </c>
      <c r="H15" s="6">
        <f>F15+G15</f>
      </c>
      <c r="I15" s="5" t="s">
        <v>38</v>
      </c>
      <c r="J15" s="5" t="s">
        <v>17</v>
      </c>
    </row>
    <row r="16" spans="1:10" x14ac:dyDescent="0.25">
      <c r="A16" s="7">
        <v>46098</v>
      </c>
      <c r="B16" s="8" t="s">
        <v>32</v>
      </c>
      <c r="C16" s="8" t="s">
        <v>18</v>
      </c>
      <c r="D16" s="8" t="s">
        <v>14</v>
      </c>
      <c r="E16" s="8" t="s">
        <v>40</v>
      </c>
      <c r="F16" s="9">
        <v>449.82</v>
      </c>
      <c r="G16" s="9">
        <f>ROUND(F16*0.18,2)</f>
      </c>
      <c r="H16" s="9">
        <f>F16+G16</f>
      </c>
      <c r="I16" s="8" t="s">
        <v>23</v>
      </c>
      <c r="J16" s="8" t="s">
        <v>17</v>
      </c>
    </row>
    <row r="17" spans="1:10" x14ac:dyDescent="0.25">
      <c r="A17" s="4">
        <v>46161</v>
      </c>
      <c r="B17" s="5" t="s">
        <v>24</v>
      </c>
      <c r="C17" s="5" t="s">
        <v>41</v>
      </c>
      <c r="D17" s="5" t="s">
        <v>14</v>
      </c>
      <c r="E17" s="5" t="s">
        <v>42</v>
      </c>
      <c r="F17" s="6">
        <v>173.29</v>
      </c>
      <c r="G17" s="6">
        <f>ROUND(F17*0.18,2)</f>
      </c>
      <c r="H17" s="6">
        <f>F17+G17</f>
      </c>
      <c r="I17" s="5" t="s">
        <v>38</v>
      </c>
      <c r="J17" s="5" t="s">
        <v>17</v>
      </c>
    </row>
    <row r="18" spans="1:10" x14ac:dyDescent="0.25">
      <c r="A18" s="7">
        <v>46108</v>
      </c>
      <c r="B18" s="8" t="s">
        <v>24</v>
      </c>
      <c r="C18" s="8" t="s">
        <v>41</v>
      </c>
      <c r="D18" s="8" t="s">
        <v>14</v>
      </c>
      <c r="E18" s="8" t="s">
        <v>17</v>
      </c>
      <c r="F18" s="9">
        <v>141.02</v>
      </c>
      <c r="G18" s="9">
        <f>ROUND(F18*0.18,2)</f>
      </c>
      <c r="H18" s="9">
        <f>F18+G18</f>
      </c>
      <c r="I18" s="8" t="s">
        <v>23</v>
      </c>
      <c r="J18" s="8" t="s">
        <v>17</v>
      </c>
    </row>
    <row r="19" spans="1:10" x14ac:dyDescent="0.25">
      <c r="A19" s="4">
        <v>46186</v>
      </c>
      <c r="B19" s="5" t="s">
        <v>21</v>
      </c>
      <c r="C19" s="5" t="s">
        <v>43</v>
      </c>
      <c r="D19" s="5" t="s">
        <v>14</v>
      </c>
      <c r="E19" s="5" t="s">
        <v>44</v>
      </c>
      <c r="F19" s="6">
        <v>388.17</v>
      </c>
      <c r="G19" s="6">
        <f>ROUND(F19*0.18,2)</f>
      </c>
      <c r="H19" s="6">
        <f>F19+G19</f>
      </c>
      <c r="I19" s="5" t="s">
        <v>45</v>
      </c>
      <c r="J19" s="5" t="s">
        <v>17</v>
      </c>
    </row>
    <row r="20" spans="1:10" x14ac:dyDescent="0.25">
      <c r="A20" s="7">
        <v>46071</v>
      </c>
      <c r="B20" s="8" t="s">
        <v>46</v>
      </c>
      <c r="C20" s="8" t="s">
        <v>30</v>
      </c>
      <c r="D20" s="8" t="s">
        <v>14</v>
      </c>
      <c r="E20" s="8" t="s">
        <v>47</v>
      </c>
      <c r="F20" s="9">
        <v>777.07</v>
      </c>
      <c r="G20" s="9">
        <f>ROUND(F20*0.18,2)</f>
      </c>
      <c r="H20" s="9">
        <f>F20+G20</f>
      </c>
      <c r="I20" s="8" t="s">
        <v>34</v>
      </c>
      <c r="J20" s="8" t="s">
        <v>17</v>
      </c>
    </row>
    <row r="21" spans="1:10" x14ac:dyDescent="0.25">
      <c r="A21" s="4">
        <v>46063</v>
      </c>
      <c r="B21" s="5" t="s">
        <v>12</v>
      </c>
      <c r="C21" s="5" t="s">
        <v>48</v>
      </c>
      <c r="D21" s="5" t="s">
        <v>14</v>
      </c>
      <c r="E21" s="5" t="s">
        <v>49</v>
      </c>
      <c r="F21" s="6">
        <v>844.51</v>
      </c>
      <c r="G21" s="6">
        <f>ROUND(F21*0.18,2)</f>
      </c>
      <c r="H21" s="6">
        <f>F21+G21</f>
      </c>
      <c r="I21" s="5" t="s">
        <v>34</v>
      </c>
      <c r="J21" s="5" t="s">
        <v>17</v>
      </c>
    </row>
    <row r="22" spans="1:10" x14ac:dyDescent="0.25">
      <c r="A22" s="7">
        <v>46100</v>
      </c>
      <c r="B22" s="8" t="s">
        <v>32</v>
      </c>
      <c r="C22" s="8" t="s">
        <v>30</v>
      </c>
      <c r="D22" s="8" t="s">
        <v>14</v>
      </c>
      <c r="E22" s="8" t="s">
        <v>17</v>
      </c>
      <c r="F22" s="9">
        <v>223.38</v>
      </c>
      <c r="G22" s="9">
        <f>ROUND(F22*0.18,2)</f>
      </c>
      <c r="H22" s="9">
        <f>F22+G22</f>
      </c>
      <c r="I22" s="8" t="s">
        <v>23</v>
      </c>
      <c r="J22" s="8" t="s">
        <v>17</v>
      </c>
    </row>
    <row r="23" spans="1:10" x14ac:dyDescent="0.25">
      <c r="A23" s="4">
        <v>46084</v>
      </c>
      <c r="B23" s="5" t="s">
        <v>12</v>
      </c>
      <c r="C23" s="5" t="s">
        <v>30</v>
      </c>
      <c r="D23" s="5" t="s">
        <v>14</v>
      </c>
      <c r="E23" s="5" t="s">
        <v>17</v>
      </c>
      <c r="F23" s="6">
        <v>717.09</v>
      </c>
      <c r="G23" s="6">
        <f>ROUND(F23*0.18,2)</f>
      </c>
      <c r="H23" s="6">
        <f>F23+G23</f>
      </c>
      <c r="I23" s="5" t="s">
        <v>23</v>
      </c>
      <c r="J23" s="5" t="s">
        <v>17</v>
      </c>
    </row>
    <row r="24" spans="1:10" x14ac:dyDescent="0.25">
      <c r="A24" s="7">
        <v>46178</v>
      </c>
      <c r="B24" s="8" t="s">
        <v>29</v>
      </c>
      <c r="C24" s="8" t="s">
        <v>18</v>
      </c>
      <c r="D24" s="8" t="s">
        <v>14</v>
      </c>
      <c r="E24" s="8" t="s">
        <v>17</v>
      </c>
      <c r="F24" s="9">
        <v>362.79</v>
      </c>
      <c r="G24" s="9">
        <f>ROUND(F24*0.18,2)</f>
      </c>
      <c r="H24" s="9">
        <f>F24+G24</f>
      </c>
      <c r="I24" s="8" t="s">
        <v>45</v>
      </c>
      <c r="J24" s="8" t="s">
        <v>17</v>
      </c>
    </row>
    <row r="25" spans="1:10" x14ac:dyDescent="0.25">
      <c r="A25" s="4">
        <v>46089</v>
      </c>
      <c r="B25" s="5" t="s">
        <v>46</v>
      </c>
      <c r="C25" s="5" t="s">
        <v>30</v>
      </c>
      <c r="D25" s="5" t="s">
        <v>14</v>
      </c>
      <c r="E25" s="5" t="s">
        <v>50</v>
      </c>
      <c r="F25" s="6">
        <v>879.06</v>
      </c>
      <c r="G25" s="6">
        <f>ROUND(F25*0.18,2)</f>
      </c>
      <c r="H25" s="6">
        <f>F25+G25</f>
      </c>
      <c r="I25" s="5" t="s">
        <v>23</v>
      </c>
      <c r="J25" s="5" t="s">
        <v>17</v>
      </c>
    </row>
    <row r="26" spans="1:10" x14ac:dyDescent="0.25">
      <c r="A26" s="7">
        <v>46180</v>
      </c>
      <c r="B26" s="8" t="s">
        <v>24</v>
      </c>
      <c r="C26" s="8" t="s">
        <v>48</v>
      </c>
      <c r="D26" s="8" t="s">
        <v>14</v>
      </c>
      <c r="E26" s="8" t="s">
        <v>51</v>
      </c>
      <c r="F26" s="9">
        <v>884.79</v>
      </c>
      <c r="G26" s="9">
        <f>ROUND(F26*0.18,2)</f>
      </c>
      <c r="H26" s="9">
        <f>F26+G26</f>
      </c>
      <c r="I26" s="8" t="s">
        <v>45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{6197A1EB-1C09-43D1-B05F-8AA5A4961BE5}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97A1EB-1C09-43D1-B05F-8AA5A4961BE5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