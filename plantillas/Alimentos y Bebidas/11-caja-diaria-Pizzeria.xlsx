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<sst xmlns="http://schemas.openxmlformats.org/spreadsheetml/2006/main" count="129" uniqueCount="90">
  <si>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PIZZERÍA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</si>
  <si>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</si>
  <si>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</si>
  <si>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</si>
  <si>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</si>
  <si>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</si>
  <si>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</si>
  <si>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</si>
  <si>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</si>
  <si>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</si>
  <si>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</si>
  <si>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</si>
  <si>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Pasta al pesto</t>
  </si>
  <si>
    <t>08:30</t>
  </si>
  <si>
    <t>B001-10001</t>
  </si>
  <si>
    <t>Yape</t>
  </si>
  <si>
    <t>Pizza mediana</t>
  </si>
  <si>
    <t>09:15</t>
  </si>
  <si>
    <t>B001-10002</t>
  </si>
  <si>
    <t>Plin</t>
  </si>
  <si>
    <t>Borde de queso</t>
  </si>
  <si>
    <t>09:45</t>
  </si>
  <si>
    <t>B001-10003</t>
  </si>
  <si>
    <t>10:20</t>
  </si>
  <si>
    <t>B001-10004</t>
  </si>
  <si>
    <t>Tarjeta</t>
  </si>
  <si>
    <t>11:00</t>
  </si>
  <si>
    <t>B001-10005</t>
  </si>
  <si>
    <t>Pizza familiar</t>
  </si>
  <si>
    <t>11:40</t>
  </si>
  <si>
    <t>B001-10006</t>
  </si>
  <si>
    <t>Gaseosa</t>
  </si>
  <si>
    <t>12:15</t>
  </si>
  <si>
    <t>B001-10007</t>
  </si>
  <si>
    <t>Lasagna</t>
  </si>
  <si>
    <t>12:50</t>
  </si>
  <si>
    <t>B001-10008</t>
  </si>
  <si>
    <t>Transferencia</t>
  </si>
  <si>
    <t>13:30</t>
  </si>
  <si>
    <t>B001-10009</t>
  </si>
  <si>
    <t>14:10</t>
  </si>
  <si>
    <t>B001-10010</t>
  </si>
  <si>
    <t>Pizza personal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</si>
  <si>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</si>
  <si>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</si>
  <si>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</si>
  <si>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</si>
  <si>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</si>
  <si>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</si>
  <si>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</si>
  <si>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</si>
  <si>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</si>
  <si>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</si>
  <si>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</si>
  <si>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</si>
  <si>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</si>
  <si>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</si>
  <si>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</si>
  <si>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</si>
  <si>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</si>
  <si>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</si>
  <si>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</si>
  <si>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</si>
  <si>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</si>
  <si>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</si>
  <si>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</si>
  <si>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</si>
  <si>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</si>
  <si>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</si>
  <si>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</si>
  <si>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</si>
  <si>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</si>
  <si>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</si>
  <si>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</si>
  <si>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</si>
  <si>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</si>
  <si>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</si>
  <si>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</si>
  <si>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PIZZERÍA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</si>
  <si>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</si>
  <si>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</si>
  <si>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</si>
  <si>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</si>
  <si>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</si>
  <si>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</si>
  <si>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</si>
  <si>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</si>
  <si>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</si>
  <si>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</si>
  <si>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Pizzería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</si>
</sst>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26.22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44.03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6.96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21.53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16</v>
      </c>
      <c r="E9" s="5">
        <v>16.61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16.18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52.11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25.18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28</v>
      </c>
      <c r="E13" s="5">
        <v>49.76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12</v>
      </c>
      <c r="E14" s="7">
        <v>54.64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28.72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34</v>
      </c>
      <c r="E16" s="7">
        <v>55.04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28</v>
      </c>
      <c r="E17" s="5">
        <v>48.21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28</v>
      </c>
      <c r="E18" s="7">
        <v>46.85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20</v>
      </c>
      <c r="E19" s="5">
        <v>41.89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28</v>
      </c>
      <c r="E20" s="7">
        <v>12.67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28</v>
      </c>
      <c r="E21" s="5">
        <v>6.32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12</v>
      </c>
      <c r="E22" s="7">
        <v>47.44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28</v>
      </c>
      <c r="E23" s="5">
        <v>48.59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16</v>
      </c>
      <c r="E24" s="7">
        <v>39.61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2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19</v>
      </c>
      <c r="C8" s="7">
        <f>20*B8</f>
      </c>
    </row>
    <row r="9" spans="1:3" x14ac:dyDescent="0.25">
      <c r="A9" s="4" t="s">
        <v>70</v>
      </c>
      <c r="B9" s="8">
        <v>7</v>
      </c>
      <c r="C9" s="5">
        <f>10*B9</f>
      </c>
    </row>
    <row r="10" spans="1:3" x14ac:dyDescent="0.25">
      <c r="A10" s="6" t="s">
        <v>71</v>
      </c>
      <c r="B10" s="9">
        <v>18</v>
      </c>
      <c r="C10" s="7">
        <f>5*B10</f>
      </c>
    </row>
    <row r="11" spans="1:3" x14ac:dyDescent="0.25">
      <c r="A11" s="4" t="s">
        <v>72</v>
      </c>
      <c r="B11" s="8">
        <v>19</v>
      </c>
      <c r="C11" s="5">
        <f>2*B11</f>
      </c>
    </row>
    <row r="12" spans="1:3" x14ac:dyDescent="0.25">
      <c r="A12" s="6" t="s">
        <v>73</v>
      </c>
      <c r="B12" s="9">
        <v>15</v>
      </c>
      <c r="C12" s="7">
        <f>1*B12</f>
      </c>
    </row>
    <row r="13" spans="1:3" x14ac:dyDescent="0.25">
      <c r="A13" s="4" t="s">
        <v>74</v>
      </c>
      <c r="B13" s="8">
        <v>6</v>
      </c>
      <c r="C13" s="5">
        <f>0.5*B13</f>
      </c>
    </row>
    <row r="14" spans="1:3" x14ac:dyDescent="0.25">
      <c r="A14" s="6" t="s">
        <v>75</v>
      </c>
      <c r="B14" s="9">
        <v>18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{E9CB5106-9F68-46A5-B1FB-1D2713FEE5CC}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CB5106-9F68-46A5-B1FB-1D2713FEE5CC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