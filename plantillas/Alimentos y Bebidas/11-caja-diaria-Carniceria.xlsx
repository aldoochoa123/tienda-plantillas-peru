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<sst xmlns="http://schemas.openxmlformats.org/spreadsheetml/2006/main" count="129" uniqueCount="90">
  <si>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CARNICERÍA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</si>
  <si>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</si>
  <si>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</si>
  <si>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</si>
  <si>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</si>
  <si>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</si>
  <si>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</si>
  <si>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</si>
  <si>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</si>
  <si>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</si>
  <si>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</si>
  <si>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</si>
  <si>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Costilla</t>
  </si>
  <si>
    <t>08:30</t>
  </si>
  <si>
    <t>B001-10001</t>
  </si>
  <si>
    <t>Yape</t>
  </si>
  <si>
    <t>Chuleta</t>
  </si>
  <si>
    <t>09:15</t>
  </si>
  <si>
    <t>B001-10002</t>
  </si>
  <si>
    <t>Plin</t>
  </si>
  <si>
    <t>Carne de res</t>
  </si>
  <si>
    <t>09:45</t>
  </si>
  <si>
    <t>B001-10003</t>
  </si>
  <si>
    <t>Carne molida</t>
  </si>
  <si>
    <t>10:20</t>
  </si>
  <si>
    <t>B001-10004</t>
  </si>
  <si>
    <t>Tarjeta</t>
  </si>
  <si>
    <t>Panceta</t>
  </si>
  <si>
    <t>11:00</t>
  </si>
  <si>
    <t>B001-10005</t>
  </si>
  <si>
    <t>Pecho</t>
  </si>
  <si>
    <t>11:40</t>
  </si>
  <si>
    <t>B001-10006</t>
  </si>
  <si>
    <t>Pollo entero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</si>
  <si>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</si>
  <si>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</si>
  <si>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</si>
  <si>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</si>
  <si>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</si>
  <si>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</si>
  <si>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</si>
  <si>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</si>
  <si>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</si>
  <si>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</si>
  <si>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</si>
  <si>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</si>
  <si>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</si>
  <si>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</si>
  <si>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</si>
  <si>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</si>
  <si>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</si>
  <si>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</si>
  <si>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</si>
  <si>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</si>
  <si>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</si>
  <si>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</si>
  <si>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</si>
  <si>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</si>
  <si>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</si>
  <si>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</si>
  <si>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</si>
  <si>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</si>
  <si>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</si>
  <si>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</si>
  <si>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</si>
  <si>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</si>
  <si>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</si>
  <si>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</si>
  <si>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</si>
  <si>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</si>
  <si>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</si>
  <si>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</si>
  <si>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</si>
  <si>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</si>
  <si>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</si>
  <si>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</si>
  <si>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</si>
  <si>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</si>
  <si>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CARNICERÍA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</si>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</sst>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43.06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11.47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41.97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26.76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42.72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30</v>
      </c>
      <c r="E10" s="7">
        <v>21.75</v>
      </c>
      <c r="F10" s="7">
        <f>ROUND(E10/1.18*0.18,2)</f>
      </c>
      <c r="G10" s="7">
        <f>E10</f>
      </c>
    </row>
    <row r="11" spans="1:7" x14ac:dyDescent="0.25">
      <c r="A11" s="4" t="s">
        <v>31</v>
      </c>
      <c r="B11" s="4" t="s">
        <v>32</v>
      </c>
      <c r="C11" s="4" t="s">
        <v>11</v>
      </c>
      <c r="D11" s="4" t="s">
        <v>33</v>
      </c>
      <c r="E11" s="5">
        <v>22.81</v>
      </c>
      <c r="F11" s="5">
        <f>ROUND(E11/1.18*0.18,2)</f>
      </c>
      <c r="G11" s="5">
        <f>E11</f>
      </c>
    </row>
    <row r="12" spans="1:7" x14ac:dyDescent="0.25">
      <c r="A12" s="6" t="s">
        <v>34</v>
      </c>
      <c r="B12" s="6" t="s">
        <v>35</v>
      </c>
      <c r="C12" s="6" t="s">
        <v>11</v>
      </c>
      <c r="D12" s="6" t="s">
        <v>23</v>
      </c>
      <c r="E12" s="7">
        <v>20.15</v>
      </c>
      <c r="F12" s="7">
        <f>ROUND(E12/1.18*0.18,2)</f>
      </c>
      <c r="G12" s="7">
        <f>E12</f>
      </c>
    </row>
    <row r="13" spans="1:7" x14ac:dyDescent="0.25">
      <c r="A13" s="4" t="s">
        <v>36</v>
      </c>
      <c r="B13" s="4" t="s">
        <v>37</v>
      </c>
      <c r="C13" s="4" t="s">
        <v>38</v>
      </c>
      <c r="D13" s="4" t="s">
        <v>12</v>
      </c>
      <c r="E13" s="5">
        <v>48.57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23</v>
      </c>
      <c r="E14" s="7">
        <v>30.4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33</v>
      </c>
      <c r="E15" s="5">
        <v>21.2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23</v>
      </c>
      <c r="E16" s="7">
        <v>19.09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20</v>
      </c>
      <c r="E17" s="5">
        <v>9.31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12</v>
      </c>
      <c r="E18" s="7">
        <v>15.69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30</v>
      </c>
      <c r="E19" s="5">
        <v>42.72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33</v>
      </c>
      <c r="E20" s="7">
        <v>21.95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20</v>
      </c>
      <c r="E21" s="5">
        <v>44.64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30</v>
      </c>
      <c r="E22" s="7">
        <v>26.57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38</v>
      </c>
      <c r="D23" s="4" t="s">
        <v>33</v>
      </c>
      <c r="E23" s="5">
        <v>36.62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23</v>
      </c>
      <c r="E24" s="7">
        <v>27.73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8</v>
      </c>
      <c r="C8" s="7">
        <f>20*B8</f>
      </c>
    </row>
    <row r="9" spans="1:3" x14ac:dyDescent="0.25">
      <c r="A9" s="4" t="s">
        <v>70</v>
      </c>
      <c r="B9" s="8">
        <v>13</v>
      </c>
      <c r="C9" s="5">
        <f>10*B9</f>
      </c>
    </row>
    <row r="10" spans="1:3" x14ac:dyDescent="0.25">
      <c r="A10" s="6" t="s">
        <v>71</v>
      </c>
      <c r="B10" s="9">
        <v>18</v>
      </c>
      <c r="C10" s="7">
        <f>5*B10</f>
      </c>
    </row>
    <row r="11" spans="1:3" x14ac:dyDescent="0.25">
      <c r="A11" s="4" t="s">
        <v>72</v>
      </c>
      <c r="B11" s="8">
        <v>15</v>
      </c>
      <c r="C11" s="5">
        <f>2*B11</f>
      </c>
    </row>
    <row r="12" spans="1:3" x14ac:dyDescent="0.25">
      <c r="A12" s="6" t="s">
        <v>73</v>
      </c>
      <c r="B12" s="9">
        <v>14</v>
      </c>
      <c r="C12" s="7">
        <f>1*B12</f>
      </c>
    </row>
    <row r="13" spans="1:3" x14ac:dyDescent="0.25">
      <c r="A13" s="4" t="s">
        <v>74</v>
      </c>
      <c r="B13" s="8">
        <v>11</v>
      </c>
      <c r="C13" s="5">
        <f>0.5*B13</f>
      </c>
    </row>
    <row r="14" spans="1:3" x14ac:dyDescent="0.25">
      <c r="A14" s="6" t="s">
        <v>75</v>
      </c>
      <c r="B14" s="9">
        <v>3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38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{E904E004-4B58-41E1-97AA-0C1867F999FF}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04E004-4B58-41E1-97AA-0C1867F999FF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