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<sst xmlns="http://schemas.openxmlformats.org/spreadsheetml/2006/main" count="129" uniqueCount="91">
  <si>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PASTELERÍA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</si>
  <si>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</si>
  <si>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</si>
  <si>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</si>
  <si>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</si>
  <si>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</si>
  <si>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</si>
  <si>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</si>
  <si>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</si>
  <si>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</si>
  <si>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</si>
  <si>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</si>
  <si>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Torta de cumpleaños</t>
  </si>
  <si>
    <t>08:30</t>
  </si>
  <si>
    <t>B001-10001</t>
  </si>
  <si>
    <t>Yape</t>
  </si>
  <si>
    <t>Tarta de frutas</t>
  </si>
  <si>
    <t>09:15</t>
  </si>
  <si>
    <t>B001-10002</t>
  </si>
  <si>
    <t>Plin</t>
  </si>
  <si>
    <t>09:45</t>
  </si>
  <si>
    <t>B001-10003</t>
  </si>
  <si>
    <t>Cupcakes</t>
  </si>
  <si>
    <t>10:20</t>
  </si>
  <si>
    <t>B001-10004</t>
  </si>
  <si>
    <t>Tarjeta</t>
  </si>
  <si>
    <t>Brownies</t>
  </si>
  <si>
    <t>11:00</t>
  </si>
  <si>
    <t>B001-10005</t>
  </si>
  <si>
    <t>11:40</t>
  </si>
  <si>
    <t>B001-10006</t>
  </si>
  <si>
    <t>12:15</t>
  </si>
  <si>
    <t>B001-10007</t>
  </si>
  <si>
    <t>Cheesecake</t>
  </si>
  <si>
    <t>12:50</t>
  </si>
  <si>
    <t>B001-10008</t>
  </si>
  <si>
    <t>Transferencia</t>
  </si>
  <si>
    <t>Merengue</t>
  </si>
  <si>
    <t>13:30</t>
  </si>
  <si>
    <t>B001-10009</t>
  </si>
  <si>
    <t>Keke de zanahoria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</si>
  <si>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</si>
  <si>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</si>
  <si>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</si>
  <si>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</si>
  <si>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</si>
  <si>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</si>
  <si>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</si>
  <si>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</si>
  <si>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</si>
  <si>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</si>
  <si>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</si>
  <si>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</si>
  <si>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</si>
  <si>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</si>
  <si>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</si>
  <si>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</si>
  <si>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</si>
  <si>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</si>
  <si>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Alfajores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</si>
  <si>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</si>
  <si>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</si>
  <si>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</si>
  <si>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</si>
  <si>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</si>
  <si>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</si>
  <si>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</si>
  <si>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</si>
  <si>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</si>
  <si>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</si>
  <si>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</si>
  <si>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</si>
  <si>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</si>
  <si>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</si>
  <si>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</si>
  <si>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</si>
  <si>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</si>
  <si>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</si>
  <si>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</si>
  <si>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PASTELERÍA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</si>
  <si>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</si>
  <si>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</si>
  <si>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</si>
  <si>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</si>
  <si>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</si>
  <si>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</si>
  <si>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</si>
  <si>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</si>
  <si>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</si>
  <si>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</si>
  <si>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Pastelería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</si>
</sst>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40.52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8.59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12</v>
      </c>
      <c r="E7" s="5">
        <v>10.53</v>
      </c>
      <c r="F7" s="5">
        <f>ROUND(E7/1.18*0.18,2)</f>
      </c>
      <c r="G7" s="5">
        <f>E7</f>
      </c>
    </row>
    <row r="8" spans="1:7" x14ac:dyDescent="0.25">
      <c r="A8" s="6" t="s">
        <v>20</v>
      </c>
      <c r="B8" s="6" t="s">
        <v>21</v>
      </c>
      <c r="C8" s="6" t="s">
        <v>11</v>
      </c>
      <c r="D8" s="6" t="s">
        <v>22</v>
      </c>
      <c r="E8" s="7">
        <v>51.68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26</v>
      </c>
      <c r="E9" s="5">
        <v>34.04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22</v>
      </c>
      <c r="E10" s="7">
        <v>30.96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12</v>
      </c>
      <c r="E11" s="5">
        <v>31.16</v>
      </c>
      <c r="F11" s="5">
        <f>ROUND(E11/1.18*0.18,2)</f>
      </c>
      <c r="G11" s="5">
        <f>E11</f>
      </c>
    </row>
    <row r="12" spans="1:7" x14ac:dyDescent="0.25">
      <c r="A12" s="6" t="s">
        <v>31</v>
      </c>
      <c r="B12" s="6" t="s">
        <v>32</v>
      </c>
      <c r="C12" s="6" t="s">
        <v>11</v>
      </c>
      <c r="D12" s="6" t="s">
        <v>33</v>
      </c>
      <c r="E12" s="7">
        <v>57.22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37</v>
      </c>
      <c r="E13" s="5">
        <v>6.2</v>
      </c>
      <c r="F13" s="5">
        <f>ROUND(E13/1.18*0.18,2)</f>
      </c>
      <c r="G13" s="5">
        <f>E13</f>
      </c>
    </row>
    <row r="14" spans="1:7" x14ac:dyDescent="0.25">
      <c r="A14" s="6" t="s">
        <v>38</v>
      </c>
      <c r="B14" s="6" t="s">
        <v>39</v>
      </c>
      <c r="C14" s="6" t="s">
        <v>15</v>
      </c>
      <c r="D14" s="6" t="s">
        <v>40</v>
      </c>
      <c r="E14" s="7">
        <v>47.01</v>
      </c>
      <c r="F14" s="7">
        <f>ROUND(E14/1.18*0.18,2)</f>
      </c>
      <c r="G14" s="7">
        <f>E14</f>
      </c>
    </row>
    <row r="15" spans="1:7" x14ac:dyDescent="0.25">
      <c r="A15" s="4" t="s">
        <v>41</v>
      </c>
      <c r="B15" s="4" t="s">
        <v>42</v>
      </c>
      <c r="C15" s="4" t="s">
        <v>11</v>
      </c>
      <c r="D15" s="4" t="s">
        <v>37</v>
      </c>
      <c r="E15" s="5">
        <v>10.68</v>
      </c>
      <c r="F15" s="5">
        <f>ROUND(E15/1.18*0.18,2)</f>
      </c>
      <c r="G15" s="5">
        <f>E15</f>
      </c>
    </row>
    <row r="16" spans="1:7" x14ac:dyDescent="0.25">
      <c r="A16" s="6" t="s">
        <v>43</v>
      </c>
      <c r="B16" s="6" t="s">
        <v>44</v>
      </c>
      <c r="C16" s="6" t="s">
        <v>15</v>
      </c>
      <c r="D16" s="6" t="s">
        <v>40</v>
      </c>
      <c r="E16" s="7">
        <v>4.89</v>
      </c>
      <c r="F16" s="7">
        <f>ROUND(E16/1.18*0.18,2)</f>
      </c>
      <c r="G16" s="7">
        <f>E16</f>
      </c>
    </row>
    <row r="17" spans="1:7" x14ac:dyDescent="0.25">
      <c r="A17" s="4" t="s">
        <v>45</v>
      </c>
      <c r="B17" s="4" t="s">
        <v>46</v>
      </c>
      <c r="C17" s="4" t="s">
        <v>19</v>
      </c>
      <c r="D17" s="4" t="s">
        <v>40</v>
      </c>
      <c r="E17" s="5">
        <v>49.36</v>
      </c>
      <c r="F17" s="5">
        <f>ROUND(E17/1.18*0.18,2)</f>
      </c>
      <c r="G17" s="5">
        <f>E17</f>
      </c>
    </row>
    <row r="18" spans="1:7" x14ac:dyDescent="0.25">
      <c r="A18" s="6" t="s">
        <v>47</v>
      </c>
      <c r="B18" s="6" t="s">
        <v>48</v>
      </c>
      <c r="C18" s="6" t="s">
        <v>11</v>
      </c>
      <c r="D18" s="6" t="s">
        <v>33</v>
      </c>
      <c r="E18" s="7">
        <v>21.22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25</v>
      </c>
      <c r="D19" s="4" t="s">
        <v>40</v>
      </c>
      <c r="E19" s="5">
        <v>11.82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40</v>
      </c>
      <c r="E20" s="7">
        <v>44.61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22</v>
      </c>
      <c r="E21" s="5">
        <v>29.6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37</v>
      </c>
      <c r="E22" s="7">
        <v>35.3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36</v>
      </c>
      <c r="D23" s="4" t="s">
        <v>59</v>
      </c>
      <c r="E23" s="5">
        <v>53.48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22</v>
      </c>
      <c r="E24" s="7">
        <v>57.97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4</v>
      </c>
      <c r="C5" s="5">
        <f>200*B5</f>
      </c>
    </row>
    <row r="6" spans="1:3" x14ac:dyDescent="0.25">
      <c r="A6" s="6" t="s">
        <v>68</v>
      </c>
      <c r="B6" s="9">
        <v>4</v>
      </c>
      <c r="C6" s="7">
        <f>100*B6</f>
      </c>
    </row>
    <row r="7" spans="1:3" x14ac:dyDescent="0.25">
      <c r="A7" s="4" t="s">
        <v>69</v>
      </c>
      <c r="B7" s="8">
        <v>2</v>
      </c>
      <c r="C7" s="5">
        <f>50*B7</f>
      </c>
    </row>
    <row r="8" spans="1:3" x14ac:dyDescent="0.25">
      <c r="A8" s="6" t="s">
        <v>70</v>
      </c>
      <c r="B8" s="9">
        <v>18</v>
      </c>
      <c r="C8" s="7">
        <f>20*B8</f>
      </c>
    </row>
    <row r="9" spans="1:3" x14ac:dyDescent="0.25">
      <c r="A9" s="4" t="s">
        <v>71</v>
      </c>
      <c r="B9" s="8">
        <v>16</v>
      </c>
      <c r="C9" s="5">
        <f>10*B9</f>
      </c>
    </row>
    <row r="10" spans="1:3" x14ac:dyDescent="0.25">
      <c r="A10" s="6" t="s">
        <v>72</v>
      </c>
      <c r="B10" s="9">
        <v>0</v>
      </c>
      <c r="C10" s="7">
        <f>5*B10</f>
      </c>
    </row>
    <row r="11" spans="1:3" x14ac:dyDescent="0.25">
      <c r="A11" s="4" t="s">
        <v>73</v>
      </c>
      <c r="B11" s="8">
        <v>17</v>
      </c>
      <c r="C11" s="5">
        <f>2*B11</f>
      </c>
    </row>
    <row r="12" spans="1:3" x14ac:dyDescent="0.25">
      <c r="A12" s="6" t="s">
        <v>74</v>
      </c>
      <c r="B12" s="9">
        <v>11</v>
      </c>
      <c r="C12" s="7">
        <f>1*B12</f>
      </c>
    </row>
    <row r="13" spans="1:3" x14ac:dyDescent="0.25">
      <c r="A13" s="4" t="s">
        <v>75</v>
      </c>
      <c r="B13" s="8">
        <v>17</v>
      </c>
      <c r="C13" s="5">
        <f>0.5*B13</f>
      </c>
    </row>
    <row r="14" spans="1:3" x14ac:dyDescent="0.25">
      <c r="A14" s="6" t="s">
        <v>76</v>
      </c>
      <c r="B14" s="9">
        <v>0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{AB8CA4FF-824C-4D39-BE9F-7DDE78E3B78C}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8CA4FF-824C-4D39-BE9F-7DDE78E3B78C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