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<sst xmlns="http://schemas.openxmlformats.org/spreadsheetml/2006/main" count="129" uniqueCount="91">
  <si>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RESTAURANTE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</si>
  <si>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</si>
  <si>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</si>
  <si>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</si>
  <si>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</si>
  <si>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</si>
  <si>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</si>
  <si>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</si>
  <si>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</si>
  <si>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</si>
  <si>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</si>
  <si>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</si>
  <si>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Chicharrón</t>
  </si>
  <si>
    <t>08:30</t>
  </si>
  <si>
    <t>B001-10001</t>
  </si>
  <si>
    <t>Yape</t>
  </si>
  <si>
    <t>Caldo de gallina</t>
  </si>
  <si>
    <t>09:15</t>
  </si>
  <si>
    <t>B001-10002</t>
  </si>
  <si>
    <t>Plin</t>
  </si>
  <si>
    <t>09:45</t>
  </si>
  <si>
    <t>B001-10003</t>
  </si>
  <si>
    <t>Refresco</t>
  </si>
  <si>
    <t>10:20</t>
  </si>
  <si>
    <t>B001-10004</t>
  </si>
  <si>
    <t>Tarjeta</t>
  </si>
  <si>
    <t>11:00</t>
  </si>
  <si>
    <t>B001-10005</t>
  </si>
  <si>
    <t>11:40</t>
  </si>
  <si>
    <t>B001-10006</t>
  </si>
  <si>
    <t>Lomo saltado</t>
  </si>
  <si>
    <t>12:15</t>
  </si>
  <si>
    <t>B001-10007</t>
  </si>
  <si>
    <t>12:50</t>
  </si>
  <si>
    <t>B001-10008</t>
  </si>
  <si>
    <t>Transferencia</t>
  </si>
  <si>
    <t>13:30</t>
  </si>
  <si>
    <t>B001-10009</t>
  </si>
  <si>
    <t>Menú de día</t>
  </si>
  <si>
    <t>14:10</t>
  </si>
  <si>
    <t>B001-10010</t>
  </si>
  <si>
    <t>15:00</t>
  </si>
  <si>
    <t>B001-10011</t>
  </si>
  <si>
    <t>Segundo</t>
  </si>
  <si>
    <t>15:30</t>
  </si>
  <si>
    <t>B001-10012</t>
  </si>
  <si>
    <t>Postre del día</t>
  </si>
  <si>
    <t>16:00</t>
  </si>
  <si>
    <t>B001-10013</t>
  </si>
  <si>
    <t>16:45</t>
  </si>
  <si>
    <t>B001-10014</t>
  </si>
  <si>
    <t>17:15</t>
  </si>
  <si>
    <t>B001-10015</t>
  </si>
  <si>
    <t>Ají de gallina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</si>
  <si>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</si>
  <si>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</si>
  <si>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</si>
  <si>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</si>
  <si>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</si>
  <si>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</si>
  <si>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</si>
  <si>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</si>
  <si>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</si>
  <si>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</si>
  <si>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</si>
  <si>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</si>
  <si>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</si>
  <si>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</si>
  <si>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</si>
  <si>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</si>
  <si>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</si>
  <si>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</si>
  <si>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</si>
  <si>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</si>
  <si>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</si>
  <si>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</si>
  <si>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</si>
  <si>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</si>
  <si>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</si>
  <si>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RESTAURANTE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</si>
  <si>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</si>
  <si>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</si>
  <si>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</si>
  <si>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</si>
  <si>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</si>
  <si>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</si>
  <si>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</si>
  <si>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</si>
  <si>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</si>
  <si>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</si>
  <si>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Restaurante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</si>
</sst>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21.2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40.95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29.82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40.39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22</v>
      </c>
      <c r="E9" s="5">
        <v>34.4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16</v>
      </c>
      <c r="E10" s="7">
        <v>21.34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30</v>
      </c>
      <c r="E11" s="5">
        <v>32.83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12</v>
      </c>
      <c r="E12" s="7">
        <v>53.29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16</v>
      </c>
      <c r="E13" s="5">
        <v>48.01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38</v>
      </c>
      <c r="E14" s="7">
        <v>30.75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22</v>
      </c>
      <c r="E15" s="5">
        <v>22.61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43</v>
      </c>
      <c r="E16" s="7">
        <v>17.63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49.33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38</v>
      </c>
      <c r="E18" s="7">
        <v>23.02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43</v>
      </c>
      <c r="E19" s="5">
        <v>51.5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53</v>
      </c>
      <c r="E20" s="7">
        <v>16.6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22</v>
      </c>
      <c r="E21" s="5">
        <v>46.37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16</v>
      </c>
      <c r="E22" s="7">
        <v>45.92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35</v>
      </c>
      <c r="D23" s="4" t="s">
        <v>43</v>
      </c>
      <c r="E23" s="5">
        <v>10.93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22</v>
      </c>
      <c r="E24" s="7">
        <v>7.13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1</v>
      </c>
      <c r="C5" s="5">
        <f>200*B5</f>
      </c>
    </row>
    <row r="6" spans="1:3" x14ac:dyDescent="0.25">
      <c r="A6" s="6" t="s">
        <v>68</v>
      </c>
      <c r="B6" s="9">
        <v>1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7</v>
      </c>
      <c r="C8" s="7">
        <f>20*B8</f>
      </c>
    </row>
    <row r="9" spans="1:3" x14ac:dyDescent="0.25">
      <c r="A9" s="4" t="s">
        <v>71</v>
      </c>
      <c r="B9" s="8">
        <v>5</v>
      </c>
      <c r="C9" s="5">
        <f>10*B9</f>
      </c>
    </row>
    <row r="10" spans="1:3" x14ac:dyDescent="0.25">
      <c r="A10" s="6" t="s">
        <v>72</v>
      </c>
      <c r="B10" s="9">
        <v>12</v>
      </c>
      <c r="C10" s="7">
        <f>5*B10</f>
      </c>
    </row>
    <row r="11" spans="1:3" x14ac:dyDescent="0.25">
      <c r="A11" s="4" t="s">
        <v>73</v>
      </c>
      <c r="B11" s="8">
        <v>3</v>
      </c>
      <c r="C11" s="5">
        <f>2*B11</f>
      </c>
    </row>
    <row r="12" spans="1:3" x14ac:dyDescent="0.25">
      <c r="A12" s="6" t="s">
        <v>74</v>
      </c>
      <c r="B12" s="9">
        <v>11</v>
      </c>
      <c r="C12" s="7">
        <f>1*B12</f>
      </c>
    </row>
    <row r="13" spans="1:3" x14ac:dyDescent="0.25">
      <c r="A13" s="4" t="s">
        <v>75</v>
      </c>
      <c r="B13" s="8">
        <v>9</v>
      </c>
      <c r="C13" s="5">
        <f>0.5*B13</f>
      </c>
    </row>
    <row r="14" spans="1:3" x14ac:dyDescent="0.25">
      <c r="A14" s="6" t="s">
        <v>76</v>
      </c>
      <c r="B14" s="9">
        <v>16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{01E5F01B-1805-4B53-8D2B-BC3DAB50309E}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E5F01B-1805-4B53-8D2B-BC3DAB50309E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