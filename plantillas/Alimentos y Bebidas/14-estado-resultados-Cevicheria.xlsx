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<sst xmlns="http://schemas.openxmlformats.org/spreadsheetml/2006/main" count="31" uniqueCount="30">
  <si>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CEVICHERÍA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</si>
  <si>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</si>
  <si>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</si>
  <si>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</si>
  <si>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</si>
  <si>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</si>
  <si>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</si>
  <si>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</si>
  <si>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</si>
  <si>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</si>
  <si>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</si>
  <si>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</si>
  <si>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</si>
  <si>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</si>
  <si>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</si>
  <si>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</si>
  <si>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</si>
  <si>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</si>
  <si>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</si>
  <si>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</si>
  <si>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</si>
  <si>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</si>
  <si>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</si>
  <si>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</si>
  <si>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</si>
  <si>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</si>
  <si>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</si>
  <si>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</si>
  <si>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</si>
  <si>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Cevichería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</si>
</sst>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40973</v>
      </c>
      <c r="C6" s="6">
        <v>286811</v>
      </c>
      <c r="D6" s="6">
        <v>307297.5</v>
      </c>
      <c r="E6" s="7">
        <f>C6/D6</f>
      </c>
    </row>
    <row r="7" spans="1:5" x14ac:dyDescent="0.25">
      <c r="A7" s="8" t="s">
        <v>9</v>
      </c>
      <c r="B7" s="9">
        <v>2163</v>
      </c>
      <c r="C7" s="9">
        <v>15141</v>
      </c>
      <c r="D7" s="9">
        <v>12978</v>
      </c>
      <c r="E7" s="10">
        <f>C7/D7</f>
      </c>
    </row>
    <row r="8" spans="1:5" x14ac:dyDescent="0.25">
      <c r="A8" s="5" t="s">
        <v>10</v>
      </c>
      <c r="B8" s="6">
        <v>1084</v>
      </c>
      <c r="C8" s="6">
        <v>7588</v>
      </c>
      <c r="D8" s="6">
        <v>7046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20356</v>
      </c>
      <c r="C12" s="15">
        <v>142492</v>
      </c>
      <c r="D12" s="15">
        <v>142492</v>
      </c>
      <c r="E12" s="5"/>
    </row>
    <row r="13" spans="1:5" x14ac:dyDescent="0.25">
      <c r="A13" s="8" t="s">
        <v>14</v>
      </c>
      <c r="B13" s="16">
        <v>3756</v>
      </c>
      <c r="C13" s="16">
        <v>26292</v>
      </c>
      <c r="D13" s="16">
        <v>26292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2384.54</v>
      </c>
      <c r="C18" s="6">
        <v>16691.78</v>
      </c>
      <c r="D18" s="6">
        <v>17168.688000000002</v>
      </c>
      <c r="E18" s="5"/>
    </row>
    <row r="19" spans="1:5" x14ac:dyDescent="0.25">
      <c r="A19" s="8" t="s">
        <v>20</v>
      </c>
      <c r="B19" s="9">
        <v>3939.93</v>
      </c>
      <c r="C19" s="9">
        <v>27579.51</v>
      </c>
      <c r="D19" s="9">
        <v>28367.496</v>
      </c>
      <c r="E19" s="8"/>
    </row>
    <row r="20" spans="1:5" x14ac:dyDescent="0.25">
      <c r="A20" s="5" t="s">
        <v>21</v>
      </c>
      <c r="B20" s="6">
        <v>4330.07</v>
      </c>
      <c r="C20" s="6">
        <v>30310.489999999998</v>
      </c>
      <c r="D20" s="6">
        <v>31176.503999999997</v>
      </c>
      <c r="E20" s="5"/>
    </row>
    <row r="21" spans="1:5" x14ac:dyDescent="0.25">
      <c r="A21" s="8" t="s">
        <v>22</v>
      </c>
      <c r="B21" s="9">
        <v>1902.19</v>
      </c>
      <c r="C21" s="9">
        <v>13315.33</v>
      </c>
      <c r="D21" s="9">
        <v>13695.768</v>
      </c>
      <c r="E21" s="8"/>
    </row>
    <row r="22" spans="1:5" x14ac:dyDescent="0.25">
      <c r="A22" s="5" t="s">
        <v>23</v>
      </c>
      <c r="B22" s="6">
        <v>5750.98</v>
      </c>
      <c r="C22" s="6">
        <v>40256.86</v>
      </c>
      <c r="D22" s="6">
        <v>41407.056</v>
      </c>
      <c r="E22" s="5"/>
    </row>
    <row r="23" spans="1:5" x14ac:dyDescent="0.25">
      <c r="A23" s="8" t="s">
        <v>24</v>
      </c>
      <c r="B23" s="9">
        <v>5497.07</v>
      </c>
      <c r="C23" s="9">
        <v>38479.49</v>
      </c>
      <c r="D23" s="9">
        <v>39578.904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1036</v>
      </c>
      <c r="C27" s="15">
        <v>7252</v>
      </c>
      <c r="D27" s="15">
        <v>7252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