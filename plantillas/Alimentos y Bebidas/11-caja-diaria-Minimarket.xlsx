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<sst xmlns="http://schemas.openxmlformats.org/spreadsheetml/2006/main" count="129" uniqueCount="91">
  <si>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MINIMARKET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</si>
  <si>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</si>
  <si>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</si>
  <si>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</si>
  <si>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</si>
  <si>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</si>
  <si>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</si>
  <si>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</si>
  <si>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</si>
  <si>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</si>
  <si>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</si>
  <si>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</si>
  <si>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Útiles escolares</t>
  </si>
  <si>
    <t>08:30</t>
  </si>
  <si>
    <t>B001-10001</t>
  </si>
  <si>
    <t>Yape</t>
  </si>
  <si>
    <t>Bebidas frías</t>
  </si>
  <si>
    <t>09:15</t>
  </si>
  <si>
    <t>B001-10002</t>
  </si>
  <si>
    <t>Plin</t>
  </si>
  <si>
    <t>09:45</t>
  </si>
  <si>
    <t>B001-10003</t>
  </si>
  <si>
    <t>Lácteos</t>
  </si>
  <si>
    <t>10:20</t>
  </si>
  <si>
    <t>B001-10004</t>
  </si>
  <si>
    <t>Tarjeta</t>
  </si>
  <si>
    <t>11:00</t>
  </si>
  <si>
    <t>B001-10005</t>
  </si>
  <si>
    <t>Snacks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</si>
  <si>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</si>
  <si>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</si>
  <si>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</si>
  <si>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</si>
  <si>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</si>
  <si>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</si>
  <si>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</si>
  <si>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</si>
  <si>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</si>
  <si>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</si>
  <si>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</si>
  <si>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Panetela</t>
  </si>
  <si>
    <t>15:00</t>
  </si>
  <si>
    <t>B001-10011</t>
  </si>
  <si>
    <t>15:30</t>
  </si>
  <si>
    <t>B001-10012</t>
  </si>
  <si>
    <t>16:00</t>
  </si>
  <si>
    <t>B001-10013</t>
  </si>
  <si>
    <t>Hielo</t>
  </si>
  <si>
    <t>16:45</t>
  </si>
  <si>
    <t>B001-10014</t>
  </si>
  <si>
    <t>17:15</t>
  </si>
  <si>
    <t>B001-10015</t>
  </si>
  <si>
    <t>17:45</t>
  </si>
  <si>
    <t>B001-10016</t>
  </si>
  <si>
    <t>Cuidado personal</t>
  </si>
  <si>
    <t>18:20</t>
  </si>
  <si>
    <t>B001-10017</t>
  </si>
  <si>
    <t>19:00</t>
  </si>
  <si>
    <t>B001-10018</t>
  </si>
  <si>
    <t>Cigarrillos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</si>
  <si>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</si>
  <si>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</si>
  <si>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</si>
  <si>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</si>
  <si>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</si>
  <si>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</si>
  <si>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</si>
  <si>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</si>
  <si>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</si>
  <si>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</si>
  <si>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</si>
  <si>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</si>
  <si>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</si>
  <si>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</si>
  <si>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</si>
  <si>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</si>
  <si>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</si>
  <si>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</si>
  <si>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</si>
  <si>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MINIMARKET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</si>
  <si>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</si>
  <si>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</si>
  <si>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</si>
  <si>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</si>
  <si>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</si>
  <si>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</si>
  <si>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</si>
  <si>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</si>
  <si>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</si>
  <si>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</si>
  <si>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Minimarket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</si>
</sst>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51.82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29.83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35.98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39.25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35.59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13.19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22</v>
      </c>
      <c r="E11" s="5">
        <v>35.26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22</v>
      </c>
      <c r="E12" s="7">
        <v>14.88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12</v>
      </c>
      <c r="E13" s="5">
        <v>12.48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28</v>
      </c>
      <c r="E14" s="7">
        <v>43.7</v>
      </c>
      <c r="F14" s="7">
        <f>ROUND(E14/1.18*0.18,2)</f>
      </c>
      <c r="G14" s="7">
        <f>E14</f>
      </c>
    </row>
    <row r="15" spans="1:7" x14ac:dyDescent="0.25">
      <c r="A15" s="4" t="s">
        <v>38</v>
      </c>
      <c r="B15" s="4" t="s">
        <v>39</v>
      </c>
      <c r="C15" s="4" t="s">
        <v>11</v>
      </c>
      <c r="D15" s="4" t="s">
        <v>40</v>
      </c>
      <c r="E15" s="5">
        <v>56.05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28</v>
      </c>
      <c r="E16" s="7">
        <v>35.13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22</v>
      </c>
      <c r="E17" s="5">
        <v>14.73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47</v>
      </c>
      <c r="E18" s="7">
        <v>19.35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16</v>
      </c>
      <c r="E19" s="5">
        <v>33.28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16</v>
      </c>
      <c r="E20" s="7">
        <v>26.19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39.7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54</v>
      </c>
      <c r="E22" s="7">
        <v>25.69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59</v>
      </c>
      <c r="E23" s="5">
        <v>50.52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47</v>
      </c>
      <c r="E24" s="7">
        <v>22.94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3</v>
      </c>
      <c r="C5" s="5">
        <f>200*B5</f>
      </c>
    </row>
    <row r="6" spans="1:3" x14ac:dyDescent="0.25">
      <c r="A6" s="6" t="s">
        <v>68</v>
      </c>
      <c r="B6" s="9">
        <v>1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11</v>
      </c>
      <c r="C8" s="7">
        <f>20*B8</f>
      </c>
    </row>
    <row r="9" spans="1:3" x14ac:dyDescent="0.25">
      <c r="A9" s="4" t="s">
        <v>71</v>
      </c>
      <c r="B9" s="8">
        <v>6</v>
      </c>
      <c r="C9" s="5">
        <f>10*B9</f>
      </c>
    </row>
    <row r="10" spans="1:3" x14ac:dyDescent="0.25">
      <c r="A10" s="6" t="s">
        <v>72</v>
      </c>
      <c r="B10" s="9">
        <v>3</v>
      </c>
      <c r="C10" s="7">
        <f>5*B10</f>
      </c>
    </row>
    <row r="11" spans="1:3" x14ac:dyDescent="0.25">
      <c r="A11" s="4" t="s">
        <v>73</v>
      </c>
      <c r="B11" s="8">
        <v>12</v>
      </c>
      <c r="C11" s="5">
        <f>2*B11</f>
      </c>
    </row>
    <row r="12" spans="1:3" x14ac:dyDescent="0.25">
      <c r="A12" s="6" t="s">
        <v>74</v>
      </c>
      <c r="B12" s="9">
        <v>11</v>
      </c>
      <c r="C12" s="7">
        <f>1*B12</f>
      </c>
    </row>
    <row r="13" spans="1:3" x14ac:dyDescent="0.25">
      <c r="A13" s="4" t="s">
        <v>75</v>
      </c>
      <c r="B13" s="8">
        <v>2</v>
      </c>
      <c r="C13" s="5">
        <f>0.5*B13</f>
      </c>
    </row>
    <row r="14" spans="1:3" x14ac:dyDescent="0.25">
      <c r="A14" s="6" t="s">
        <v>76</v>
      </c>
      <c r="B14" s="9">
        <v>8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{F1A73C1A-62C0-4EC2-93C2-572FCCD12E7E}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A73C1A-62C0-4EC2-93C2-572FCCD12E7E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