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IP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CB6E"/>
        <bgColor rgb="00FDCB6E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Actual vs Anterior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IPC'!B9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'Calculadora IPC'!$A$10:$A$17</f>
            </numRef>
          </cat>
          <val>
            <numRef>
              <f>'Calculadora IPC'!$B$10:$B$17</f>
            </numRef>
          </val>
        </ser>
        <ser>
          <idx val="1"/>
          <order val="1"/>
          <tx>
            <strRef>
              <f>'Calculadora IPC'!C9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'Calculadora IPC'!$A$10:$A$17</f>
            </numRef>
          </cat>
          <val>
            <numRef>
              <f>'Calculadora IPC'!$C$10:$C$17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IPC'!B24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IPC'!$A$25:$A$30</f>
            </numRef>
          </cat>
          <val>
            <numRef>
              <f>'Calculadora IPC'!$B$25:$B$30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CB6E"/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IPC — ALMACEN LOGISTICA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48000</v>
      </c>
      <c r="C5" s="8" t="n">
        <v>4000</v>
      </c>
      <c r="E5" s="9" t="n">
        <v>5200</v>
      </c>
      <c r="G5" s="10" t="n">
        <v>2800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INDICADOR</t>
        </is>
      </c>
      <c r="B9" s="12" t="inlineStr">
        <is>
          <t>VALOR ACTUAL</t>
        </is>
      </c>
      <c r="C9" s="12" t="inlineStr">
        <is>
          <t>VALOR ANTERIOR</t>
        </is>
      </c>
      <c r="D9" s="12" t="inlineStr">
        <is>
          <t>VARIACION</t>
        </is>
      </c>
      <c r="E9" s="12" t="inlineStr">
        <is>
          <t>TENDENCIA</t>
        </is>
      </c>
    </row>
    <row r="10">
      <c r="A10" s="13" t="inlineStr">
        <is>
          <t>ROI</t>
        </is>
      </c>
      <c r="B10" s="14" t="n">
        <v>17.9</v>
      </c>
      <c r="C10" s="14" t="n">
        <v>15.3</v>
      </c>
      <c r="D10" s="14">
        <f>B10-C10</f>
        <v/>
      </c>
      <c r="E10" s="13">
        <f>IF(D10&gt;0,"SUBIO","BAJO")</f>
        <v/>
      </c>
    </row>
    <row r="11">
      <c r="A11" s="15" t="inlineStr">
        <is>
          <t>Rentabilidad</t>
        </is>
      </c>
      <c r="B11" s="16" t="n">
        <v>9.9</v>
      </c>
      <c r="C11" s="16" t="n">
        <v>10.3</v>
      </c>
      <c r="D11" s="16">
        <f>B11-C11</f>
        <v/>
      </c>
      <c r="E11" s="15">
        <f>IF(D11&gt;0,"SUBIO","BAJO")</f>
        <v/>
      </c>
    </row>
    <row r="12">
      <c r="A12" s="13" t="inlineStr">
        <is>
          <t>Liquidez</t>
        </is>
      </c>
      <c r="B12" s="14" t="n">
        <v>10</v>
      </c>
      <c r="C12" s="14" t="n">
        <v>8.1</v>
      </c>
      <c r="D12" s="14">
        <f>B12-C12</f>
        <v/>
      </c>
      <c r="E12" s="13">
        <f>IF(D12&gt;0,"SUBIO","BAJO")</f>
        <v/>
      </c>
    </row>
    <row r="13">
      <c r="A13" s="15" t="inlineStr">
        <is>
          <t>Endeudamiento</t>
        </is>
      </c>
      <c r="B13" s="16" t="n">
        <v>29</v>
      </c>
      <c r="C13" s="16" t="n">
        <v>25.9</v>
      </c>
      <c r="D13" s="16">
        <f>B13-C13</f>
        <v/>
      </c>
      <c r="E13" s="15">
        <f>IF(D13&gt;0,"SUBIO","BAJO")</f>
        <v/>
      </c>
    </row>
    <row r="14">
      <c r="A14" s="13" t="inlineStr">
        <is>
          <t>Rotacion</t>
        </is>
      </c>
      <c r="B14" s="14" t="n">
        <v>19</v>
      </c>
      <c r="C14" s="14" t="n">
        <v>18.9</v>
      </c>
      <c r="D14" s="14">
        <f>B14-C14</f>
        <v/>
      </c>
      <c r="E14" s="13">
        <f>IF(D14&gt;0,"SUBIO","BAJO")</f>
        <v/>
      </c>
    </row>
    <row r="15">
      <c r="A15" s="15" t="inlineStr">
        <is>
          <t>Margen</t>
        </is>
      </c>
      <c r="B15" s="16" t="n">
        <v>28.5</v>
      </c>
      <c r="C15" s="16" t="n">
        <v>23.1</v>
      </c>
      <c r="D15" s="16">
        <f>B15-C15</f>
        <v/>
      </c>
      <c r="E15" s="15">
        <f>IF(D15&gt;0,"SUBIO","BAJO")</f>
        <v/>
      </c>
    </row>
    <row r="16">
      <c r="A16" s="13" t="inlineStr">
        <is>
          <t>Crecimiento</t>
        </is>
      </c>
      <c r="B16" s="14" t="n">
        <v>23</v>
      </c>
      <c r="C16" s="14" t="n">
        <v>19</v>
      </c>
      <c r="D16" s="14">
        <f>B16-C16</f>
        <v/>
      </c>
      <c r="E16" s="13">
        <f>IF(D16&gt;0,"SUBIO","BAJO")</f>
        <v/>
      </c>
    </row>
    <row r="17">
      <c r="A17" s="15" t="inlineStr">
        <is>
          <t>Productividad</t>
        </is>
      </c>
      <c r="B17" s="16" t="n">
        <v>24</v>
      </c>
      <c r="C17" s="16" t="n">
        <v>21.3</v>
      </c>
      <c r="D17" s="16">
        <f>B17-C17</f>
        <v/>
      </c>
      <c r="E17" s="15">
        <f>IF(D17&gt;0,"SUBIO","BAJO")</f>
        <v/>
      </c>
    </row>
    <row r="24">
      <c r="A24" s="17" t="inlineStr">
        <is>
          <t>INDICADOR</t>
        </is>
      </c>
      <c r="B24" s="17" t="inlineStr">
        <is>
          <t>VALOR</t>
        </is>
      </c>
    </row>
    <row r="25">
      <c r="A25" t="inlineStr">
        <is>
          <t>ROI</t>
        </is>
      </c>
      <c r="B25" t="n">
        <v>25.5</v>
      </c>
    </row>
    <row r="26">
      <c r="A26" t="inlineStr">
        <is>
          <t>Rentabilidad</t>
        </is>
      </c>
      <c r="B26" t="n">
        <v>29.6</v>
      </c>
    </row>
    <row r="27">
      <c r="A27" t="inlineStr">
        <is>
          <t>Liquidez</t>
        </is>
      </c>
      <c r="B27" t="n">
        <v>26.4</v>
      </c>
    </row>
    <row r="28">
      <c r="A28" t="inlineStr">
        <is>
          <t>Endeudamiento</t>
        </is>
      </c>
      <c r="B28" t="n">
        <v>11.9</v>
      </c>
    </row>
    <row r="29">
      <c r="A29" t="inlineStr">
        <is>
          <t>Rotacion</t>
        </is>
      </c>
      <c r="B29" t="n">
        <v>23</v>
      </c>
    </row>
    <row r="30">
      <c r="A30" t="inlineStr">
        <is>
          <t>Margen</t>
        </is>
      </c>
      <c r="B30" t="n">
        <v>19.6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7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B10:B17">
    <cfRule type="dataBar" priority="3">
      <dataBar>
        <cfvo type="min"/>
        <cfvo type="max"/>
        <color rgb="00FDCB6E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2026-09-01T00:21:34Z</dcterms:created>
  <dcterms:modified xsi:type="dcterms:W3CDTF">2026-09-01T00:21:34Z</dcterms:modified>
</cp:coreProperties>
</file>