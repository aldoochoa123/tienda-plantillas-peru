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entas Cobr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  <dxf>
      <fill>
        <patternFill patternType="solid">
          <fgColor rgb="00FFF9C4"/>
          <bgColor rgb="00FFF9C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por Cliente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'Cuentas Cobrar'!G9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'Cuentas Cobrar'!$A$10:$A$21</f>
            </numRef>
          </cat>
          <val>
            <numRef>
              <f>'Cuentas Cobrar'!$G$10:$G$21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Cuentas</a:t>
            </a:r>
          </a:p>
        </rich>
      </tx>
    </title>
    <plotArea>
      <pieChart>
        <varyColors val="1"/>
        <ser>
          <idx val="0"/>
          <order val="0"/>
          <tx>
            <strRef>
              <f>'Cuentas Cobrar'!B38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'Cuentas Cobrar'!$A$39:$A$41</f>
            </numRef>
          </cat>
          <val>
            <numRef>
              <f>'Cuentas Cobrar'!$B$39:$B$41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CUENTAS POR COBRAR — COURIER</t>
        </is>
      </c>
    </row>
    <row r="2" ht="28" customHeight="1">
      <c r="A2" s="2" t="inlineStr">
        <is>
          <t>Control de deudas de clientes con aging y alertas</t>
        </is>
      </c>
    </row>
    <row r="4">
      <c r="A4" s="3" t="inlineStr">
        <is>
          <t>POR COBRAR S/</t>
        </is>
      </c>
      <c r="C4" s="4" t="inlineStr">
        <is>
          <t>VENCIDAS S/</t>
        </is>
      </c>
      <c r="E4" s="5" t="inlineStr">
        <is>
          <t>AL DIA S/</t>
        </is>
      </c>
      <c r="G4" s="6" t="inlineStr">
        <is>
          <t>CLIENTES</t>
        </is>
      </c>
    </row>
    <row r="5" ht="32" customHeight="1">
      <c r="A5" s="7" t="n">
        <v>37500</v>
      </c>
      <c r="C5" s="8" t="n">
        <v>11250</v>
      </c>
      <c r="E5" s="9" t="n">
        <v>26250</v>
      </c>
      <c r="G5" s="10" t="n">
        <v>14</v>
      </c>
    </row>
    <row r="8" ht="30" customHeight="1">
      <c r="A8" s="11" t="inlineStr">
        <is>
          <t xml:space="preserve">  DETALLE DE CUENTAS</t>
        </is>
      </c>
    </row>
    <row r="9">
      <c r="A9" s="12" t="inlineStr">
        <is>
          <t>CLIENTE</t>
        </is>
      </c>
      <c r="B9" s="12" t="inlineStr">
        <is>
          <t>DOCUMENTO</t>
        </is>
      </c>
      <c r="C9" s="12" t="inlineStr">
        <is>
          <t>EMISION</t>
        </is>
      </c>
      <c r="D9" s="12" t="inlineStr">
        <is>
          <t>VENCIMIENTO</t>
        </is>
      </c>
      <c r="E9" s="12" t="inlineStr">
        <is>
          <t>MONTO</t>
        </is>
      </c>
      <c r="F9" s="12" t="inlineStr">
        <is>
          <t>PAGADO</t>
        </is>
      </c>
      <c r="G9" s="12" t="inlineStr">
        <is>
          <t>SALDO</t>
        </is>
      </c>
      <c r="H9" s="12" t="inlineStr">
        <is>
          <t>ESTADO</t>
        </is>
      </c>
    </row>
    <row r="10">
      <c r="A10" s="13" t="inlineStr">
        <is>
          <t>Cliente A</t>
        </is>
      </c>
      <c r="B10" s="13" t="inlineStr">
        <is>
          <t>F173</t>
        </is>
      </c>
      <c r="C10" s="13" t="inlineStr">
        <is>
          <t>27/01/2025</t>
        </is>
      </c>
      <c r="D10" s="13" t="inlineStr">
        <is>
          <t>2/02/2025</t>
        </is>
      </c>
      <c r="E10" s="14" t="n">
        <v>312</v>
      </c>
      <c r="F10" s="14" t="n">
        <v>85</v>
      </c>
      <c r="G10" s="14">
        <f>E10-F10</f>
        <v/>
      </c>
      <c r="H10" s="13">
        <f>IF(G10=0,"PAGADO",IF(G10&lt;E10,"PARCIAL","PENDIENTE"))</f>
        <v/>
      </c>
    </row>
    <row r="11">
      <c r="A11" s="15" t="inlineStr">
        <is>
          <t>Cliente B</t>
        </is>
      </c>
      <c r="B11" s="15" t="inlineStr">
        <is>
          <t>F476</t>
        </is>
      </c>
      <c r="C11" s="15" t="inlineStr">
        <is>
          <t>23/01/2025</t>
        </is>
      </c>
      <c r="D11" s="15" t="inlineStr">
        <is>
          <t>2/02/2025</t>
        </is>
      </c>
      <c r="E11" s="16" t="n">
        <v>1332</v>
      </c>
      <c r="F11" s="16" t="n">
        <v>938</v>
      </c>
      <c r="G11" s="16">
        <f>E11-F11</f>
        <v/>
      </c>
      <c r="H11" s="15">
        <f>IF(G11=0,"PAGADO",IF(G11&lt;E11,"PARCIAL","PENDIENTE"))</f>
        <v/>
      </c>
    </row>
    <row r="12">
      <c r="A12" s="13" t="inlineStr">
        <is>
          <t>Cliente C</t>
        </is>
      </c>
      <c r="B12" s="13" t="inlineStr">
        <is>
          <t>F408</t>
        </is>
      </c>
      <c r="C12" s="13" t="inlineStr">
        <is>
          <t>11/01/2025</t>
        </is>
      </c>
      <c r="D12" s="13" t="inlineStr">
        <is>
          <t>16/02/2025</t>
        </is>
      </c>
      <c r="E12" s="14" t="n">
        <v>3538</v>
      </c>
      <c r="F12" s="14" t="n">
        <v>2440</v>
      </c>
      <c r="G12" s="14">
        <f>E12-F12</f>
        <v/>
      </c>
      <c r="H12" s="13">
        <f>IF(G12=0,"PAGADO",IF(G12&lt;E12,"PARCIAL","PENDIENTE"))</f>
        <v/>
      </c>
    </row>
    <row r="13">
      <c r="A13" s="15" t="inlineStr">
        <is>
          <t>Cliente D</t>
        </is>
      </c>
      <c r="B13" s="15" t="inlineStr">
        <is>
          <t>F992</t>
        </is>
      </c>
      <c r="C13" s="15" t="inlineStr">
        <is>
          <t>18/01/2025</t>
        </is>
      </c>
      <c r="D13" s="15" t="inlineStr">
        <is>
          <t>27/02/2025</t>
        </is>
      </c>
      <c r="E13" s="16" t="n">
        <v>410</v>
      </c>
      <c r="F13" s="16" t="n">
        <v>66</v>
      </c>
      <c r="G13" s="16">
        <f>E13-F13</f>
        <v/>
      </c>
      <c r="H13" s="15">
        <f>IF(G13=0,"PAGADO",IF(G13&lt;E13,"PARCIAL","PENDIENTE"))</f>
        <v/>
      </c>
    </row>
    <row r="14">
      <c r="A14" s="13" t="inlineStr">
        <is>
          <t>Cliente E</t>
        </is>
      </c>
      <c r="B14" s="13" t="inlineStr">
        <is>
          <t>F526</t>
        </is>
      </c>
      <c r="C14" s="13" t="inlineStr">
        <is>
          <t>8/01/2025</t>
        </is>
      </c>
      <c r="D14" s="13" t="inlineStr">
        <is>
          <t>16/02/2025</t>
        </is>
      </c>
      <c r="E14" s="14" t="n">
        <v>1987</v>
      </c>
      <c r="F14" s="14" t="n">
        <v>579</v>
      </c>
      <c r="G14" s="14">
        <f>E14-F14</f>
        <v/>
      </c>
      <c r="H14" s="13">
        <f>IF(G14=0,"PAGADO",IF(G14&lt;E14,"PARCIAL","PENDIENTE"))</f>
        <v/>
      </c>
    </row>
    <row r="15">
      <c r="A15" s="15" t="inlineStr">
        <is>
          <t>Cliente F</t>
        </is>
      </c>
      <c r="B15" s="15" t="inlineStr">
        <is>
          <t>F924</t>
        </is>
      </c>
      <c r="C15" s="15" t="inlineStr">
        <is>
          <t>28/01/2025</t>
        </is>
      </c>
      <c r="D15" s="15" t="inlineStr">
        <is>
          <t>22/02/2025</t>
        </is>
      </c>
      <c r="E15" s="16" t="n">
        <v>586</v>
      </c>
      <c r="F15" s="16" t="n">
        <v>86</v>
      </c>
      <c r="G15" s="16">
        <f>E15-F15</f>
        <v/>
      </c>
      <c r="H15" s="15">
        <f>IF(G15=0,"PAGADO",IF(G15&lt;E15,"PARCIAL","PENDIENTE"))</f>
        <v/>
      </c>
    </row>
    <row r="16">
      <c r="A16" s="13" t="inlineStr">
        <is>
          <t>Cliente G</t>
        </is>
      </c>
      <c r="B16" s="13" t="inlineStr">
        <is>
          <t>F353</t>
        </is>
      </c>
      <c r="C16" s="13" t="inlineStr">
        <is>
          <t>18/01/2025</t>
        </is>
      </c>
      <c r="D16" s="13" t="inlineStr">
        <is>
          <t>3/02/2025</t>
        </is>
      </c>
      <c r="E16" s="14" t="n">
        <v>3136</v>
      </c>
      <c r="F16" s="14" t="n">
        <v>2224</v>
      </c>
      <c r="G16" s="14">
        <f>E16-F16</f>
        <v/>
      </c>
      <c r="H16" s="13">
        <f>IF(G16=0,"PAGADO",IF(G16&lt;E16,"PARCIAL","PENDIENTE"))</f>
        <v/>
      </c>
    </row>
    <row r="17">
      <c r="A17" s="15" t="inlineStr">
        <is>
          <t>Cliente H</t>
        </is>
      </c>
      <c r="B17" s="15" t="inlineStr">
        <is>
          <t>F732</t>
        </is>
      </c>
      <c r="C17" s="15" t="inlineStr">
        <is>
          <t>22/01/2025</t>
        </is>
      </c>
      <c r="D17" s="15" t="inlineStr">
        <is>
          <t>2/02/2025</t>
        </is>
      </c>
      <c r="E17" s="16" t="n">
        <v>2848</v>
      </c>
      <c r="F17" s="16" t="n">
        <v>1703</v>
      </c>
      <c r="G17" s="16">
        <f>E17-F17</f>
        <v/>
      </c>
      <c r="H17" s="15">
        <f>IF(G17=0,"PAGADO",IF(G17&lt;E17,"PARCIAL","PENDIENTE"))</f>
        <v/>
      </c>
    </row>
    <row r="18">
      <c r="A18" s="13" t="inlineStr">
        <is>
          <t>Cliente I</t>
        </is>
      </c>
      <c r="B18" s="13" t="inlineStr">
        <is>
          <t>F135</t>
        </is>
      </c>
      <c r="C18" s="13" t="inlineStr">
        <is>
          <t>18/01/2025</t>
        </is>
      </c>
      <c r="D18" s="13" t="inlineStr">
        <is>
          <t>1/02/2025</t>
        </is>
      </c>
      <c r="E18" s="14" t="n">
        <v>1981</v>
      </c>
      <c r="F18" s="14" t="n">
        <v>1374</v>
      </c>
      <c r="G18" s="14">
        <f>E18-F18</f>
        <v/>
      </c>
      <c r="H18" s="13">
        <f>IF(G18=0,"PAGADO",IF(G18&lt;E18,"PARCIAL","PENDIENTE"))</f>
        <v/>
      </c>
    </row>
    <row r="19">
      <c r="A19" s="15" t="inlineStr">
        <is>
          <t>Cliente J</t>
        </is>
      </c>
      <c r="B19" s="15" t="inlineStr">
        <is>
          <t>F845</t>
        </is>
      </c>
      <c r="C19" s="15" t="inlineStr">
        <is>
          <t>17/01/2025</t>
        </is>
      </c>
      <c r="D19" s="15" t="inlineStr">
        <is>
          <t>28/02/2025</t>
        </is>
      </c>
      <c r="E19" s="16" t="n">
        <v>432</v>
      </c>
      <c r="F19" s="16" t="n">
        <v>283</v>
      </c>
      <c r="G19" s="16">
        <f>E19-F19</f>
        <v/>
      </c>
      <c r="H19" s="15">
        <f>IF(G19=0,"PAGADO",IF(G19&lt;E19,"PARCIAL","PENDIENTE"))</f>
        <v/>
      </c>
    </row>
    <row r="20">
      <c r="A20" s="13" t="inlineStr">
        <is>
          <t>Cliente K</t>
        </is>
      </c>
      <c r="B20" s="13" t="inlineStr">
        <is>
          <t>F359</t>
        </is>
      </c>
      <c r="C20" s="13" t="inlineStr">
        <is>
          <t>9/01/2025</t>
        </is>
      </c>
      <c r="D20" s="13" t="inlineStr">
        <is>
          <t>21/02/2025</t>
        </is>
      </c>
      <c r="E20" s="14" t="n">
        <v>2367</v>
      </c>
      <c r="F20" s="14" t="n">
        <v>248</v>
      </c>
      <c r="G20" s="14">
        <f>E20-F20</f>
        <v/>
      </c>
      <c r="H20" s="13">
        <f>IF(G20=0,"PAGADO",IF(G20&lt;E20,"PARCIAL","PENDIENTE"))</f>
        <v/>
      </c>
    </row>
    <row r="21">
      <c r="A21" s="15" t="inlineStr">
        <is>
          <t>Cliente L</t>
        </is>
      </c>
      <c r="B21" s="15" t="inlineStr">
        <is>
          <t>F859</t>
        </is>
      </c>
      <c r="C21" s="15" t="inlineStr">
        <is>
          <t>26/01/2025</t>
        </is>
      </c>
      <c r="D21" s="15" t="inlineStr">
        <is>
          <t>21/02/2025</t>
        </is>
      </c>
      <c r="E21" s="16" t="n">
        <v>1019</v>
      </c>
      <c r="F21" s="16" t="n">
        <v>221</v>
      </c>
      <c r="G21" s="16">
        <f>E21-F21</f>
        <v/>
      </c>
      <c r="H21" s="15">
        <f>IF(G21=0,"PAGADO",IF(G21&lt;E21,"PARCIAL","PENDIENTE"))</f>
        <v/>
      </c>
    </row>
    <row r="22">
      <c r="A22" s="17" t="inlineStr">
        <is>
          <t>TOTALES</t>
        </is>
      </c>
      <c r="E22" s="18">
        <f>SUM(E10:E21)</f>
        <v/>
      </c>
      <c r="F22" s="18">
        <f>SUM(F10:F21)</f>
        <v/>
      </c>
      <c r="G22" s="18">
        <f>SUM(G10:G21)</f>
        <v/>
      </c>
    </row>
    <row r="38">
      <c r="A38" s="19" t="inlineStr">
        <is>
          <t>ESTADO</t>
        </is>
      </c>
      <c r="B38" s="19" t="inlineStr">
        <is>
          <t>CANTIDAD</t>
        </is>
      </c>
    </row>
    <row r="39">
      <c r="A39" t="inlineStr">
        <is>
          <t>Pagado</t>
        </is>
      </c>
      <c r="B39" t="n">
        <v>2</v>
      </c>
    </row>
    <row r="40">
      <c r="A40" t="inlineStr">
        <is>
          <t>Parcial</t>
        </is>
      </c>
      <c r="B40" t="n">
        <v>2</v>
      </c>
    </row>
    <row r="41">
      <c r="A41" t="inlineStr">
        <is>
          <t>Pendiente</t>
        </is>
      </c>
      <c r="B41" t="n">
        <v>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"PAGADO"</formula>
    </cfRule>
    <cfRule type="cellIs" priority="2" operator="equal" dxfId="1">
      <formula>"PENDIENTE"</formula>
    </cfRule>
    <cfRule type="cellIs" priority="3" operator="equal" dxfId="2">
      <formula>"PARCIAL"</formula>
    </cfRule>
  </conditionalFormatting>
  <conditionalFormatting sqref="G10:G21">
    <cfRule type="dataBar" priority="4">
      <dataBar>
        <cfvo type="min"/>
        <cfvo type="max"/>
        <color rgb="000984E3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2026-09-01T00:21:36Z</dcterms:created>
  <dcterms:modified xsi:type="dcterms:W3CDTF">2026-09-01T00:21:36Z</dcterms:modified>
</cp:coreProperties>
</file>