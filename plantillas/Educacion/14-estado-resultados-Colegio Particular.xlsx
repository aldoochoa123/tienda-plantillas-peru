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<sst xmlns="http://schemas.openxmlformats.org/spreadsheetml/2006/main" count="31" uniqueCount="30">
  <si>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COLEGIO PARTICULAR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</si>
  <si>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</si>
  <si>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</si>
  <si>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</si>
  <si>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</si>
  <si>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</si>
  <si>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</si>
  <si>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</si>
  <si>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</si>
  <si>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</si>
  <si>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</si>
  <si>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</si>
  <si>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</si>
  <si>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</si>
  <si>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</si>
  <si>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</si>
  <si>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</si>
  <si>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</si>
  <si>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</si>
  <si>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</si>
  <si>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</si>
  <si>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</si>
  <si>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</si>
  <si>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</si>
  <si>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</si>
  <si>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</si>
  <si>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</si>
  <si>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</si>
  <si>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</si>
  <si>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Colegio Particular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</si>
</sst>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57613</v>
      </c>
      <c r="C6" s="6">
        <v>403291</v>
      </c>
      <c r="D6" s="6">
        <v>432097.5</v>
      </c>
      <c r="E6" s="7">
        <f>C6/D6</f>
      </c>
    </row>
    <row r="7" spans="1:5" x14ac:dyDescent="0.25">
      <c r="A7" s="8" t="s">
        <v>9</v>
      </c>
      <c r="B7" s="9">
        <v>9718</v>
      </c>
      <c r="C7" s="9">
        <v>68026</v>
      </c>
      <c r="D7" s="9">
        <v>58308</v>
      </c>
      <c r="E7" s="10">
        <f>C7/D7</f>
      </c>
    </row>
    <row r="8" spans="1:5" x14ac:dyDescent="0.25">
      <c r="A8" s="5" t="s">
        <v>10</v>
      </c>
      <c r="B8" s="6">
        <v>2796</v>
      </c>
      <c r="C8" s="6">
        <v>19572</v>
      </c>
      <c r="D8" s="6">
        <v>18174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26206</v>
      </c>
      <c r="C12" s="15">
        <v>183442</v>
      </c>
      <c r="D12" s="15">
        <v>183442</v>
      </c>
      <c r="E12" s="5"/>
    </row>
    <row r="13" spans="1:5" x14ac:dyDescent="0.25">
      <c r="A13" s="8" t="s">
        <v>14</v>
      </c>
      <c r="B13" s="16">
        <v>5745</v>
      </c>
      <c r="C13" s="16">
        <v>40215</v>
      </c>
      <c r="D13" s="16">
        <v>40215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4756.95</v>
      </c>
      <c r="C18" s="6">
        <v>33298.65</v>
      </c>
      <c r="D18" s="6">
        <v>34250.04</v>
      </c>
      <c r="E18" s="5"/>
    </row>
    <row r="19" spans="1:5" x14ac:dyDescent="0.25">
      <c r="A19" s="8" t="s">
        <v>20</v>
      </c>
      <c r="B19" s="9">
        <v>2907.15</v>
      </c>
      <c r="C19" s="9">
        <v>20350.05</v>
      </c>
      <c r="D19" s="9">
        <v>20931.48</v>
      </c>
      <c r="E19" s="8"/>
    </row>
    <row r="20" spans="1:5" x14ac:dyDescent="0.25">
      <c r="A20" s="5" t="s">
        <v>21</v>
      </c>
      <c r="B20" s="6">
        <v>6111.93</v>
      </c>
      <c r="C20" s="6">
        <v>42783.51</v>
      </c>
      <c r="D20" s="6">
        <v>44005.896</v>
      </c>
      <c r="E20" s="5"/>
    </row>
    <row r="21" spans="1:5" x14ac:dyDescent="0.25">
      <c r="A21" s="8" t="s">
        <v>22</v>
      </c>
      <c r="B21" s="9">
        <v>4128.11</v>
      </c>
      <c r="C21" s="9">
        <v>28896.769999999997</v>
      </c>
      <c r="D21" s="9">
        <v>29722.392</v>
      </c>
      <c r="E21" s="8"/>
    </row>
    <row r="22" spans="1:5" x14ac:dyDescent="0.25">
      <c r="A22" s="5" t="s">
        <v>23</v>
      </c>
      <c r="B22" s="6">
        <v>3073.11</v>
      </c>
      <c r="C22" s="6">
        <v>21511.77</v>
      </c>
      <c r="D22" s="6">
        <v>22126.392</v>
      </c>
      <c r="E22" s="5"/>
    </row>
    <row r="23" spans="1:5" x14ac:dyDescent="0.25">
      <c r="A23" s="8" t="s">
        <v>24</v>
      </c>
      <c r="B23" s="9">
        <v>1987.58</v>
      </c>
      <c r="C23" s="9">
        <v>13913.06</v>
      </c>
      <c r="D23" s="9">
        <v>14310.576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379</v>
      </c>
      <c r="C27" s="15">
        <v>2653</v>
      </c>
      <c r="D27" s="15">
        <v>2653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