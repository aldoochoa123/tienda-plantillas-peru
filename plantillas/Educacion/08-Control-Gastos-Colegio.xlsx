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COLEGIO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84000</v>
      </c>
      <c r="C5" s="8" t="n">
        <v>50400</v>
      </c>
      <c r="E5" s="9" t="n">
        <v>33600</v>
      </c>
      <c r="G5" s="10" t="n">
        <v>100800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1095</v>
      </c>
      <c r="E10" s="13" t="inlineStr">
        <is>
          <t>Plin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397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1147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137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1040</v>
      </c>
      <c r="E14" s="13" t="inlineStr">
        <is>
          <t>Yape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580</v>
      </c>
      <c r="E15" s="15" t="inlineStr">
        <is>
          <t>Yape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601</v>
      </c>
      <c r="E16" s="13" t="inlineStr">
        <is>
          <t>Plin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108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60</v>
      </c>
      <c r="E18" s="13" t="inlineStr">
        <is>
          <t>Transferencia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1383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988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948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501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1000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691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1953</v>
      </c>
    </row>
    <row r="43">
      <c r="A43" t="inlineStr">
        <is>
          <t>Alquiler</t>
        </is>
      </c>
      <c r="B43" t="n">
        <v>7937</v>
      </c>
    </row>
    <row r="44">
      <c r="A44" t="inlineStr">
        <is>
          <t>Insumos</t>
        </is>
      </c>
      <c r="B44" t="n">
        <v>5416</v>
      </c>
    </row>
    <row r="45">
      <c r="A45" t="inlineStr">
        <is>
          <t>Servicios</t>
        </is>
      </c>
      <c r="B45" t="n">
        <v>7389</v>
      </c>
    </row>
    <row r="46">
      <c r="A46" t="inlineStr">
        <is>
          <t>Marketing</t>
        </is>
      </c>
      <c r="B46" t="n">
        <v>1549</v>
      </c>
    </row>
    <row r="47">
      <c r="A47" t="inlineStr">
        <is>
          <t>Transporte</t>
        </is>
      </c>
      <c r="B47" t="n">
        <v>1431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