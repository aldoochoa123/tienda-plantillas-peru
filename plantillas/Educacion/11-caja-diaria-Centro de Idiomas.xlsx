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<sst xmlns="http://schemas.openxmlformats.org/spreadsheetml/2006/main" count="129" uniqueCount="90">
  <si>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CENTRO DE IDIOMAS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</si>
  <si>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</si>
  <si>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</si>
  <si>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</si>
  <si>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</si>
  <si>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</si>
  <si>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</si>
  <si>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</si>
  <si>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</si>
  <si>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</si>
  <si>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</si>
  <si>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</si>
  <si>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Curso intensivo</t>
  </si>
  <si>
    <t>08:30</t>
  </si>
  <si>
    <t>B001-10001</t>
  </si>
  <si>
    <t>Yape</t>
  </si>
  <si>
    <t>09:15</t>
  </si>
  <si>
    <t>B001-10002</t>
  </si>
  <si>
    <t>Plin</t>
  </si>
  <si>
    <t>Mensualidad inglés</t>
  </si>
  <si>
    <t>09:45</t>
  </si>
  <si>
    <t>B001-10003</t>
  </si>
  <si>
    <t>Conversación</t>
  </si>
  <si>
    <t>10:20</t>
  </si>
  <si>
    <t>B001-10004</t>
  </si>
  <si>
    <t>Tarjeta</t>
  </si>
  <si>
    <t>Clase particular</t>
  </si>
  <si>
    <t>11:00</t>
  </si>
  <si>
    <t>B001-10005</t>
  </si>
  <si>
    <t>Preparación IELTS</t>
  </si>
  <si>
    <t>11:40</t>
  </si>
  <si>
    <t>B001-10006</t>
  </si>
  <si>
    <t>12:15</t>
  </si>
  <si>
    <t>B001-10007</t>
  </si>
  <si>
    <t>12:50</t>
  </si>
  <si>
    <t>B001-10008</t>
  </si>
  <si>
    <t>Transferencia</t>
  </si>
  <si>
    <t>Matrícula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</si>
  <si>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</si>
  <si>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</si>
  <si>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</si>
  <si>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</si>
  <si>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</si>
  <si>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</si>
  <si>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</si>
  <si>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</si>
  <si>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Mensualidad portugués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</si>
  <si>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</si>
  <si>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</si>
  <si>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</si>
  <si>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</si>
  <si>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</si>
  <si>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</si>
  <si>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</si>
  <si>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</si>
  <si>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</si>
  <si>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</si>
  <si>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</si>
  <si>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</si>
  <si>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</si>
  <si>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</si>
  <si>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</si>
  <si>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</si>
  <si>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</si>
  <si>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</si>
  <si>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</si>
  <si>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</si>
  <si>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</si>
  <si>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</si>
  <si>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</si>
  <si>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</si>
  <si>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</si>
  <si>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</si>
  <si>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</si>
  <si>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</si>
  <si>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</si>
  <si>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</si>
  <si>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</si>
  <si>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CENTRO DE IDIOMAS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</si>
  <si>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</si>
  <si>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</si>
  <si>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</si>
  <si>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</si>
  <si>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</si>
  <si>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</si>
  <si>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</si>
  <si>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</si>
  <si>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</si>
  <si>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</si>
  <si>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Centro de Idiomas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</si>
</sst>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27.79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35.98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41.86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42.25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10.68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6.79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22</v>
      </c>
      <c r="E11" s="5">
        <v>23.87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19</v>
      </c>
      <c r="E12" s="7">
        <v>55.58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38.92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29</v>
      </c>
      <c r="E14" s="7">
        <v>43.73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19</v>
      </c>
      <c r="E15" s="5">
        <v>26.41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29</v>
      </c>
      <c r="E16" s="7">
        <v>17.56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18</v>
      </c>
      <c r="D17" s="4" t="s">
        <v>46</v>
      </c>
      <c r="E17" s="5">
        <v>4.29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29</v>
      </c>
      <c r="E18" s="7">
        <v>49.4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29</v>
      </c>
      <c r="E19" s="5">
        <v>50.35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37</v>
      </c>
      <c r="E20" s="7">
        <v>55.43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38.03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29</v>
      </c>
      <c r="E22" s="7">
        <v>12.35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12</v>
      </c>
      <c r="E23" s="5">
        <v>37.7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29</v>
      </c>
      <c r="E24" s="7">
        <v>49.39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2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4</v>
      </c>
      <c r="C8" s="7">
        <f>20*B8</f>
      </c>
    </row>
    <row r="9" spans="1:3" x14ac:dyDescent="0.25">
      <c r="A9" s="4" t="s">
        <v>70</v>
      </c>
      <c r="B9" s="8">
        <v>4</v>
      </c>
      <c r="C9" s="5">
        <f>10*B9</f>
      </c>
    </row>
    <row r="10" spans="1:3" x14ac:dyDescent="0.25">
      <c r="A10" s="6" t="s">
        <v>71</v>
      </c>
      <c r="B10" s="9">
        <v>1</v>
      </c>
      <c r="C10" s="7">
        <f>5*B10</f>
      </c>
    </row>
    <row r="11" spans="1:3" x14ac:dyDescent="0.25">
      <c r="A11" s="4" t="s">
        <v>72</v>
      </c>
      <c r="B11" s="8">
        <v>3</v>
      </c>
      <c r="C11" s="5">
        <f>2*B11</f>
      </c>
    </row>
    <row r="12" spans="1:3" x14ac:dyDescent="0.25">
      <c r="A12" s="6" t="s">
        <v>73</v>
      </c>
      <c r="B12" s="9">
        <v>16</v>
      </c>
      <c r="C12" s="7">
        <f>1*B12</f>
      </c>
    </row>
    <row r="13" spans="1:3" x14ac:dyDescent="0.25">
      <c r="A13" s="4" t="s">
        <v>74</v>
      </c>
      <c r="B13" s="8">
        <v>19</v>
      </c>
      <c r="C13" s="5">
        <f>0.5*B13</f>
      </c>
    </row>
    <row r="14" spans="1:3" x14ac:dyDescent="0.25">
      <c r="A14" s="6" t="s">
        <v>75</v>
      </c>
      <c r="B14" s="9">
        <v>7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{92430A4C-861F-4DB1-9098-763291C4B56D}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30A4C-861F-4DB1-9098-763291C4B56D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