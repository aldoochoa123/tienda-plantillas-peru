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<sst xmlns="http://schemas.openxmlformats.org/spreadsheetml/2006/main" count="239" uniqueCount="75">
  <si>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TUTORÍAS ESCOLARES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</si>
  <si>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</si>
  <si>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</si>
  <si>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</si>
  <si>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</si>
  <si>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</si>
  <si>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</si>
  <si>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</si>
  <si>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</si>
  <si>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</si>
  <si>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</si>
  <si>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</si>
  <si>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</si>
  <si>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</si>
  <si>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</si>
  <si>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</si>
  <si>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</si>
  <si>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</si>
  <si>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</si>
  <si>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</si>
  <si>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</si>
  <si>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</si>
  <si>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</si>
  <si>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</si>
  <si>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</si>
  <si>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</si>
  <si>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</si>
  <si>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</si>
  <si>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</si>
  <si>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</si>
  <si>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</si>
  <si>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</si>
  <si>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</si>
  <si>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</si>
  <si>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</si>
  <si>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</si>
  <si>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</si>
  <si>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TUTORÍAS ESCOLARES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</si>
  <si>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</si>
  <si>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</si>
  <si>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</si>
  <si>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</si>
  <si>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</si>
  <si>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</si>
  <si>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</si>
  <si>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</si>
  <si>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</si>
  <si>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Lucía Fernández</t>
  </si>
  <si>
    <t>Clase virtual</t>
  </si>
  <si>
    <t>Boleta</t>
  </si>
  <si>
    <t>Inversiones Norte E.I.R.L.</t>
  </si>
  <si>
    <t>Clase de química</t>
  </si>
  <si>
    <t>Mercado Central</t>
  </si>
  <si>
    <t>Tarea dirigida</t>
  </si>
  <si>
    <t>Clase de matemáticas</t>
  </si>
  <si>
    <t>Preparación de exámenes</t>
  </si>
  <si>
    <t>Distribuidora Sur</t>
  </si>
  <si>
    <t>Refuerzo integral</t>
  </si>
  <si>
    <t>Comercial Andina</t>
  </si>
  <si>
    <t>Clase de comunicación</t>
  </si>
  <si>
    <t>Roberto Castillo</t>
  </si>
  <si>
    <t>Clase de física</t>
  </si>
  <si>
    <t>Juan Pérez</t>
  </si>
  <si>
    <t>Maria Lopez S.A.C.</t>
  </si>
  <si>
    <t>💡 Agrega más filas copiando el formato. La columna Total ya tiene la fórmula.</t>
  </si>
  <si>
    <t>Tutorías Escolares · Plantilla profesional Pack Perú</t>
  </si>
  <si>
    <t>REGISTRO DE GASTOS — TUTORÍAS ESCOLARES</t>
  </si>
  <si>
    <t>Registra cada gasto con su categoría</t>
  </si>
  <si>
    <t>Costo Unit.</t>
  </si>
  <si>
    <t>Sueldo quincenal</t>
  </si>
  <si>
    <t>Alquiler del local</t>
  </si>
  <si>
    <t>Recibo de luz</t>
  </si>
  <si>
    <t>Compra de insumos</t>
  </si>
  <si>
    <t>Gasolina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</si>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</sst>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{BAD5B154-1BCB-48D3-918A-5B8E75560B14}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{AC81C15E-D2B0-4683-9E5B-7707304BA1FC}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D5B154-1BCB-48D3-918A-5B8E75560B14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AC81C15E-D2B0-4683-9E5B-7707304BA1FC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46211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51.5</v>
      </c>
      <c r="G5" s="13">
        <f>E5*F5</f>
      </c>
      <c r="H5" s="12" t="s">
        <v>28</v>
      </c>
    </row>
    <row r="6" spans="1:8" x14ac:dyDescent="0.25">
      <c r="A6" s="22">
        <v>46195</v>
      </c>
      <c r="B6" s="15" t="s">
        <v>49</v>
      </c>
      <c r="C6" s="15" t="s">
        <v>50</v>
      </c>
      <c r="D6" s="15" t="s">
        <v>51</v>
      </c>
      <c r="E6" s="23">
        <v>8</v>
      </c>
      <c r="F6" s="16">
        <v>44</v>
      </c>
      <c r="G6" s="16">
        <f>E6*F6</f>
      </c>
      <c r="H6" s="15" t="s">
        <v>26</v>
      </c>
    </row>
    <row r="7" spans="1:8" x14ac:dyDescent="0.25">
      <c r="A7" s="20">
        <v>46207</v>
      </c>
      <c r="B7" s="12" t="s">
        <v>46</v>
      </c>
      <c r="C7" s="12" t="s">
        <v>52</v>
      </c>
      <c r="D7" s="12" t="s">
        <v>51</v>
      </c>
      <c r="E7" s="21">
        <v>5</v>
      </c>
      <c r="F7" s="13">
        <v>16.4</v>
      </c>
      <c r="G7" s="13">
        <f>E7*F7</f>
      </c>
      <c r="H7" s="12" t="s">
        <v>28</v>
      </c>
    </row>
    <row r="8" spans="1:8" x14ac:dyDescent="0.25">
      <c r="A8" s="22">
        <v>46196</v>
      </c>
      <c r="B8" s="15" t="s">
        <v>49</v>
      </c>
      <c r="C8" s="15" t="s">
        <v>47</v>
      </c>
      <c r="D8" s="15" t="s">
        <v>53</v>
      </c>
      <c r="E8" s="23">
        <v>6</v>
      </c>
      <c r="F8" s="16">
        <v>37.6</v>
      </c>
      <c r="G8" s="16">
        <f>E8*F8</f>
      </c>
      <c r="H8" s="15" t="s">
        <v>26</v>
      </c>
    </row>
    <row r="9" spans="1:8" x14ac:dyDescent="0.25">
      <c r="A9" s="20">
        <v>46196</v>
      </c>
      <c r="B9" s="12" t="s">
        <v>46</v>
      </c>
      <c r="C9" s="12" t="s">
        <v>52</v>
      </c>
      <c r="D9" s="12" t="s">
        <v>54</v>
      </c>
      <c r="E9" s="21">
        <v>5</v>
      </c>
      <c r="F9" s="13">
        <v>6.3</v>
      </c>
      <c r="G9" s="13">
        <f>E9*F9</f>
      </c>
      <c r="H9" s="12" t="s">
        <v>26</v>
      </c>
    </row>
    <row r="10" spans="1:8" x14ac:dyDescent="0.25">
      <c r="A10" s="22">
        <v>46206</v>
      </c>
      <c r="B10" s="15" t="s">
        <v>46</v>
      </c>
      <c r="C10" s="15" t="s">
        <v>47</v>
      </c>
      <c r="D10" s="15" t="s">
        <v>55</v>
      </c>
      <c r="E10" s="23">
        <v>2</v>
      </c>
      <c r="F10" s="16">
        <v>26.9</v>
      </c>
      <c r="G10" s="16">
        <f>E10*F10</f>
      </c>
      <c r="H10" s="15" t="s">
        <v>28</v>
      </c>
    </row>
    <row r="11" spans="1:8" x14ac:dyDescent="0.25">
      <c r="A11" s="20">
        <v>46129</v>
      </c>
      <c r="B11" s="12" t="s">
        <v>49</v>
      </c>
      <c r="C11" s="12" t="s">
        <v>56</v>
      </c>
      <c r="D11" s="12" t="s">
        <v>57</v>
      </c>
      <c r="E11" s="21">
        <v>8</v>
      </c>
      <c r="F11" s="13">
        <v>35</v>
      </c>
      <c r="G11" s="13">
        <f>E11*F11</f>
      </c>
      <c r="H11" s="12" t="s">
        <v>22</v>
      </c>
    </row>
    <row r="12" spans="1:8" x14ac:dyDescent="0.25">
      <c r="A12" s="22">
        <v>46094</v>
      </c>
      <c r="B12" s="15" t="s">
        <v>49</v>
      </c>
      <c r="C12" s="15" t="s">
        <v>50</v>
      </c>
      <c r="D12" s="15" t="s">
        <v>55</v>
      </c>
      <c r="E12" s="23">
        <v>5</v>
      </c>
      <c r="F12" s="16">
        <v>59.9</v>
      </c>
      <c r="G12" s="16">
        <f>E12*F12</f>
      </c>
      <c r="H12" s="15" t="s">
        <v>20</v>
      </c>
    </row>
    <row r="13" spans="1:8" x14ac:dyDescent="0.25">
      <c r="A13" s="20">
        <v>46151</v>
      </c>
      <c r="B13" s="12" t="s">
        <v>46</v>
      </c>
      <c r="C13" s="12" t="s">
        <v>58</v>
      </c>
      <c r="D13" s="12" t="s">
        <v>55</v>
      </c>
      <c r="E13" s="21">
        <v>1</v>
      </c>
      <c r="F13" s="13">
        <v>44.7</v>
      </c>
      <c r="G13" s="13">
        <f>E13*F13</f>
      </c>
      <c r="H13" s="12" t="s">
        <v>24</v>
      </c>
    </row>
    <row r="14" spans="1:8" x14ac:dyDescent="0.25">
      <c r="A14" s="22">
        <v>46145</v>
      </c>
      <c r="B14" s="15" t="s">
        <v>49</v>
      </c>
      <c r="C14" s="15" t="s">
        <v>52</v>
      </c>
      <c r="D14" s="15" t="s">
        <v>57</v>
      </c>
      <c r="E14" s="23">
        <v>5</v>
      </c>
      <c r="F14" s="16">
        <v>46.8</v>
      </c>
      <c r="G14" s="16">
        <f>E14*F14</f>
      </c>
      <c r="H14" s="15" t="s">
        <v>24</v>
      </c>
    </row>
    <row r="15" spans="1:8" x14ac:dyDescent="0.25">
      <c r="A15" s="20">
        <v>46082</v>
      </c>
      <c r="B15" s="12" t="s">
        <v>46</v>
      </c>
      <c r="C15" s="12" t="s">
        <v>56</v>
      </c>
      <c r="D15" s="12" t="s">
        <v>53</v>
      </c>
      <c r="E15" s="21">
        <v>8</v>
      </c>
      <c r="F15" s="13">
        <v>16.6</v>
      </c>
      <c r="G15" s="13">
        <f>E15*F15</f>
      </c>
      <c r="H15" s="12" t="s">
        <v>20</v>
      </c>
    </row>
    <row r="16" spans="1:8" x14ac:dyDescent="0.25">
      <c r="A16" s="22">
        <v>46106</v>
      </c>
      <c r="B16" s="15" t="s">
        <v>49</v>
      </c>
      <c r="C16" s="15" t="s">
        <v>47</v>
      </c>
      <c r="D16" s="15" t="s">
        <v>59</v>
      </c>
      <c r="E16" s="23">
        <v>4</v>
      </c>
      <c r="F16" s="16">
        <v>21.8</v>
      </c>
      <c r="G16" s="16">
        <f>E16*F16</f>
      </c>
      <c r="H16" s="15" t="s">
        <v>20</v>
      </c>
    </row>
    <row r="17" spans="1:8" x14ac:dyDescent="0.25">
      <c r="A17" s="20">
        <v>46099</v>
      </c>
      <c r="B17" s="12" t="s">
        <v>49</v>
      </c>
      <c r="C17" s="12" t="s">
        <v>60</v>
      </c>
      <c r="D17" s="12" t="s">
        <v>61</v>
      </c>
      <c r="E17" s="21">
        <v>5</v>
      </c>
      <c r="F17" s="13">
        <v>10</v>
      </c>
      <c r="G17" s="13">
        <f>E17*F17</f>
      </c>
      <c r="H17" s="12" t="s">
        <v>20</v>
      </c>
    </row>
    <row r="18" spans="1:8" x14ac:dyDescent="0.25">
      <c r="A18" s="22">
        <v>46205</v>
      </c>
      <c r="B18" s="15" t="s">
        <v>46</v>
      </c>
      <c r="C18" s="15" t="s">
        <v>58</v>
      </c>
      <c r="D18" s="15" t="s">
        <v>59</v>
      </c>
      <c r="E18" s="23">
        <v>4</v>
      </c>
      <c r="F18" s="16">
        <v>19.4</v>
      </c>
      <c r="G18" s="16">
        <f>E18*F18</f>
      </c>
      <c r="H18" s="15" t="s">
        <v>28</v>
      </c>
    </row>
    <row r="19" spans="1:8" x14ac:dyDescent="0.25">
      <c r="A19" s="20">
        <v>46146</v>
      </c>
      <c r="B19" s="12" t="s">
        <v>46</v>
      </c>
      <c r="C19" s="12" t="s">
        <v>60</v>
      </c>
      <c r="D19" s="12" t="s">
        <v>54</v>
      </c>
      <c r="E19" s="21">
        <v>8</v>
      </c>
      <c r="F19" s="13">
        <v>51.8</v>
      </c>
      <c r="G19" s="13">
        <f>E19*F19</f>
      </c>
      <c r="H19" s="12" t="s">
        <v>24</v>
      </c>
    </row>
    <row r="20" spans="1:8" x14ac:dyDescent="0.25">
      <c r="A20" s="22">
        <v>46129</v>
      </c>
      <c r="B20" s="15" t="s">
        <v>49</v>
      </c>
      <c r="C20" s="15" t="s">
        <v>62</v>
      </c>
      <c r="D20" s="15" t="s">
        <v>55</v>
      </c>
      <c r="E20" s="23">
        <v>8</v>
      </c>
      <c r="F20" s="16">
        <v>7.5</v>
      </c>
      <c r="G20" s="16">
        <f>E20*F20</f>
      </c>
      <c r="H20" s="15" t="s">
        <v>22</v>
      </c>
    </row>
    <row r="21" spans="1:8" x14ac:dyDescent="0.25">
      <c r="A21" s="20">
        <v>46168</v>
      </c>
      <c r="B21" s="12" t="s">
        <v>49</v>
      </c>
      <c r="C21" s="12" t="s">
        <v>58</v>
      </c>
      <c r="D21" s="12" t="s">
        <v>55</v>
      </c>
      <c r="E21" s="21">
        <v>7</v>
      </c>
      <c r="F21" s="13">
        <v>45.8</v>
      </c>
      <c r="G21" s="13">
        <f>E21*F21</f>
      </c>
      <c r="H21" s="12" t="s">
        <v>24</v>
      </c>
    </row>
    <row r="22" spans="1:8" x14ac:dyDescent="0.25">
      <c r="A22" s="22">
        <v>46193</v>
      </c>
      <c r="B22" s="15" t="s">
        <v>49</v>
      </c>
      <c r="C22" s="15" t="s">
        <v>50</v>
      </c>
      <c r="D22" s="15" t="s">
        <v>54</v>
      </c>
      <c r="E22" s="23">
        <v>8</v>
      </c>
      <c r="F22" s="16">
        <v>27</v>
      </c>
      <c r="G22" s="16">
        <f>E22*F22</f>
      </c>
      <c r="H22" s="15" t="s">
        <v>26</v>
      </c>
    </row>
    <row r="23" spans="1:8" x14ac:dyDescent="0.25">
      <c r="A23" s="20">
        <v>46055</v>
      </c>
      <c r="B23" s="12" t="s">
        <v>46</v>
      </c>
      <c r="C23" s="12" t="s">
        <v>63</v>
      </c>
      <c r="D23" s="12" t="s">
        <v>57</v>
      </c>
      <c r="E23" s="21">
        <v>1</v>
      </c>
      <c r="F23" s="13">
        <v>33.5</v>
      </c>
      <c r="G23" s="13">
        <f>E23*F23</f>
      </c>
      <c r="H23" s="12" t="s">
        <v>18</v>
      </c>
    </row>
    <row r="24" spans="1:8" x14ac:dyDescent="0.25">
      <c r="A24" s="22">
        <v>46138</v>
      </c>
      <c r="B24" s="15" t="s">
        <v>46</v>
      </c>
      <c r="C24" s="15" t="s">
        <v>56</v>
      </c>
      <c r="D24" s="15" t="s">
        <v>57</v>
      </c>
      <c r="E24" s="23">
        <v>2</v>
      </c>
      <c r="F24" s="16">
        <v>44.8</v>
      </c>
      <c r="G24" s="16">
        <f>E24*F24</f>
      </c>
      <c r="H24" s="15" t="s">
        <v>22</v>
      </c>
    </row>
    <row r="25" spans="1:8" x14ac:dyDescent="0.25">
      <c r="A25" s="20">
        <v>46161</v>
      </c>
      <c r="B25" s="12" t="s">
        <v>46</v>
      </c>
      <c r="C25" s="12" t="s">
        <v>50</v>
      </c>
      <c r="D25" s="12" t="s">
        <v>53</v>
      </c>
      <c r="E25" s="21">
        <v>1</v>
      </c>
      <c r="F25" s="13">
        <v>43.5</v>
      </c>
      <c r="G25" s="13">
        <f>E25*F25</f>
      </c>
      <c r="H25" s="12" t="s">
        <v>24</v>
      </c>
    </row>
    <row r="26" spans="1:8" x14ac:dyDescent="0.25">
      <c r="A26" s="22">
        <v>46033</v>
      </c>
      <c r="B26" s="15" t="s">
        <v>49</v>
      </c>
      <c r="C26" s="15" t="s">
        <v>63</v>
      </c>
      <c r="D26" s="15" t="s">
        <v>54</v>
      </c>
      <c r="E26" s="23">
        <v>1</v>
      </c>
      <c r="F26" s="16">
        <v>6.3</v>
      </c>
      <c r="G26" s="16">
        <f>E26*F26</f>
      </c>
      <c r="H26" s="15" t="s">
        <v>16</v>
      </c>
    </row>
    <row r="27" spans="1:8" x14ac:dyDescent="0.25">
      <c r="A27" s="20">
        <v>46103</v>
      </c>
      <c r="B27" s="12" t="s">
        <v>46</v>
      </c>
      <c r="C27" s="12" t="s">
        <v>63</v>
      </c>
      <c r="D27" s="12" t="s">
        <v>61</v>
      </c>
      <c r="E27" s="21">
        <v>3</v>
      </c>
      <c r="F27" s="13">
        <v>11.8</v>
      </c>
      <c r="G27" s="13">
        <f>E27*F27</f>
      </c>
      <c r="H27" s="12" t="s">
        <v>20</v>
      </c>
    </row>
    <row r="28" spans="1:8" x14ac:dyDescent="0.25">
      <c r="A28" s="22">
        <v>46223</v>
      </c>
      <c r="B28" s="15" t="s">
        <v>46</v>
      </c>
      <c r="C28" s="15" t="s">
        <v>56</v>
      </c>
      <c r="D28" s="15" t="s">
        <v>53</v>
      </c>
      <c r="E28" s="23">
        <v>4</v>
      </c>
      <c r="F28" s="16">
        <v>37.6</v>
      </c>
      <c r="G28" s="16">
        <f>E28*F28</f>
      </c>
      <c r="H28" s="15" t="s">
        <v>28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46219</v>
      </c>
      <c r="B5" s="12" t="s">
        <v>46</v>
      </c>
      <c r="C5" s="12" t="s">
        <v>17</v>
      </c>
      <c r="D5" s="12" t="s">
        <v>69</v>
      </c>
      <c r="E5" s="21">
        <v>1</v>
      </c>
      <c r="F5" s="13">
        <v>314.68</v>
      </c>
      <c r="G5" s="13">
        <f>E5*F5</f>
      </c>
      <c r="H5" s="12" t="s">
        <v>28</v>
      </c>
    </row>
    <row r="6" spans="1:8" x14ac:dyDescent="0.25">
      <c r="A6" s="22">
        <v>46056</v>
      </c>
      <c r="B6" s="15" t="s">
        <v>46</v>
      </c>
      <c r="C6" s="15" t="s">
        <v>17</v>
      </c>
      <c r="D6" s="15" t="s">
        <v>70</v>
      </c>
      <c r="E6" s="23">
        <v>1</v>
      </c>
      <c r="F6" s="16">
        <v>357.77</v>
      </c>
      <c r="G6" s="16">
        <f>E6*F6</f>
      </c>
      <c r="H6" s="15" t="s">
        <v>18</v>
      </c>
    </row>
    <row r="7" spans="1:8" x14ac:dyDescent="0.25">
      <c r="A7" s="20">
        <v>46204</v>
      </c>
      <c r="B7" s="12" t="s">
        <v>46</v>
      </c>
      <c r="C7" s="12" t="s">
        <v>21</v>
      </c>
      <c r="D7" s="12" t="s">
        <v>70</v>
      </c>
      <c r="E7" s="21">
        <v>1</v>
      </c>
      <c r="F7" s="13">
        <v>380.54</v>
      </c>
      <c r="G7" s="13">
        <f>E7*F7</f>
      </c>
      <c r="H7" s="12" t="s">
        <v>28</v>
      </c>
    </row>
    <row r="8" spans="1:8" x14ac:dyDescent="0.25">
      <c r="A8" s="22">
        <v>46080</v>
      </c>
      <c r="B8" s="15" t="s">
        <v>46</v>
      </c>
      <c r="C8" s="15" t="s">
        <v>25</v>
      </c>
      <c r="D8" s="15" t="s">
        <v>71</v>
      </c>
      <c r="E8" s="23">
        <v>1</v>
      </c>
      <c r="F8" s="16">
        <v>339.3</v>
      </c>
      <c r="G8" s="16">
        <f>E8*F8</f>
      </c>
      <c r="H8" s="15" t="s">
        <v>18</v>
      </c>
    </row>
    <row r="9" spans="1:8" x14ac:dyDescent="0.25">
      <c r="A9" s="20">
        <v>46147</v>
      </c>
      <c r="B9" s="12" t="s">
        <v>46</v>
      </c>
      <c r="C9" s="12" t="s">
        <v>25</v>
      </c>
      <c r="D9" s="12" t="s">
        <v>70</v>
      </c>
      <c r="E9" s="21">
        <v>1</v>
      </c>
      <c r="F9" s="13">
        <v>357.92</v>
      </c>
      <c r="G9" s="13">
        <f>E9*F9</f>
      </c>
      <c r="H9" s="12" t="s">
        <v>24</v>
      </c>
    </row>
    <row r="10" spans="1:8" x14ac:dyDescent="0.25">
      <c r="A10" s="22">
        <v>46214</v>
      </c>
      <c r="B10" s="15" t="s">
        <v>46</v>
      </c>
      <c r="C10" s="15" t="s">
        <v>27</v>
      </c>
      <c r="D10" s="15" t="s">
        <v>72</v>
      </c>
      <c r="E10" s="23">
        <v>1</v>
      </c>
      <c r="F10" s="16">
        <v>331.72</v>
      </c>
      <c r="G10" s="16">
        <f>E10*F10</f>
      </c>
      <c r="H10" s="15" t="s">
        <v>28</v>
      </c>
    </row>
    <row r="11" spans="1:8" x14ac:dyDescent="0.25">
      <c r="A11" s="20">
        <v>46163</v>
      </c>
      <c r="B11" s="12" t="s">
        <v>46</v>
      </c>
      <c r="C11" s="12" t="s">
        <v>27</v>
      </c>
      <c r="D11" s="12" t="s">
        <v>73</v>
      </c>
      <c r="E11" s="21">
        <v>1</v>
      </c>
      <c r="F11" s="13">
        <v>149.07</v>
      </c>
      <c r="G11" s="13">
        <f>E11*F11</f>
      </c>
      <c r="H11" s="12" t="s">
        <v>24</v>
      </c>
    </row>
    <row r="12" spans="1:8" x14ac:dyDescent="0.25">
      <c r="A12" s="22">
        <v>46198</v>
      </c>
      <c r="B12" s="15" t="s">
        <v>46</v>
      </c>
      <c r="C12" s="15" t="s">
        <v>21</v>
      </c>
      <c r="D12" s="15" t="s">
        <v>72</v>
      </c>
      <c r="E12" s="23">
        <v>1</v>
      </c>
      <c r="F12" s="16">
        <v>247.8</v>
      </c>
      <c r="G12" s="16">
        <f>E12*F12</f>
      </c>
      <c r="H12" s="15" t="s">
        <v>26</v>
      </c>
    </row>
    <row r="13" spans="1:8" x14ac:dyDescent="0.25">
      <c r="A13" s="20">
        <v>46166</v>
      </c>
      <c r="B13" s="12" t="s">
        <v>46</v>
      </c>
      <c r="C13" s="12" t="s">
        <v>25</v>
      </c>
      <c r="D13" s="12" t="s">
        <v>74</v>
      </c>
      <c r="E13" s="21">
        <v>1</v>
      </c>
      <c r="F13" s="13">
        <v>106.39</v>
      </c>
      <c r="G13" s="13">
        <f>E13*F13</f>
      </c>
      <c r="H13" s="12" t="s">
        <v>24</v>
      </c>
    </row>
    <row r="14" spans="1:8" x14ac:dyDescent="0.25">
      <c r="A14" s="22">
        <v>46065</v>
      </c>
      <c r="B14" s="15" t="s">
        <v>46</v>
      </c>
      <c r="C14" s="15" t="s">
        <v>23</v>
      </c>
      <c r="D14" s="15" t="s">
        <v>72</v>
      </c>
      <c r="E14" s="23">
        <v>1</v>
      </c>
      <c r="F14" s="16">
        <v>138.15</v>
      </c>
      <c r="G14" s="16">
        <f>E14*F14</f>
      </c>
      <c r="H14" s="15" t="s">
        <v>18</v>
      </c>
    </row>
    <row r="15" spans="1:8" x14ac:dyDescent="0.25">
      <c r="A15" s="20">
        <v>46146</v>
      </c>
      <c r="B15" s="12" t="s">
        <v>46</v>
      </c>
      <c r="C15" s="12" t="s">
        <v>27</v>
      </c>
      <c r="D15" s="12" t="s">
        <v>72</v>
      </c>
      <c r="E15" s="21">
        <v>1</v>
      </c>
      <c r="F15" s="13">
        <v>198.18</v>
      </c>
      <c r="G15" s="13">
        <f>E15*F15</f>
      </c>
      <c r="H15" s="12" t="s">
        <v>24</v>
      </c>
    </row>
    <row r="16" spans="1:8" x14ac:dyDescent="0.25">
      <c r="A16" s="22">
        <v>46226</v>
      </c>
      <c r="B16" s="15" t="s">
        <v>46</v>
      </c>
      <c r="C16" s="15" t="s">
        <v>17</v>
      </c>
      <c r="D16" s="15" t="s">
        <v>70</v>
      </c>
      <c r="E16" s="23">
        <v>1</v>
      </c>
      <c r="F16" s="16">
        <v>170.63</v>
      </c>
      <c r="G16" s="16">
        <f>E16*F16</f>
      </c>
      <c r="H16" s="15" t="s">
        <v>28</v>
      </c>
    </row>
    <row r="17" spans="1:8" x14ac:dyDescent="0.25">
      <c r="A17" s="20">
        <v>46218</v>
      </c>
      <c r="B17" s="12" t="s">
        <v>46</v>
      </c>
      <c r="C17" s="12" t="s">
        <v>23</v>
      </c>
      <c r="D17" s="12" t="s">
        <v>69</v>
      </c>
      <c r="E17" s="21">
        <v>1</v>
      </c>
      <c r="F17" s="13">
        <v>189.21</v>
      </c>
      <c r="G17" s="13">
        <f>E17*F17</f>
      </c>
      <c r="H17" s="12" t="s">
        <v>28</v>
      </c>
    </row>
    <row r="18" spans="1:8" x14ac:dyDescent="0.25">
      <c r="A18" s="22">
        <v>46157</v>
      </c>
      <c r="B18" s="15" t="s">
        <v>46</v>
      </c>
      <c r="C18" s="15" t="s">
        <v>17</v>
      </c>
      <c r="D18" s="15" t="s">
        <v>71</v>
      </c>
      <c r="E18" s="23">
        <v>1</v>
      </c>
      <c r="F18" s="16">
        <v>350.22</v>
      </c>
      <c r="G18" s="16">
        <f>E18*F18</f>
      </c>
      <c r="H18" s="15" t="s">
        <v>24</v>
      </c>
    </row>
    <row r="19" spans="1:8" x14ac:dyDescent="0.25">
      <c r="A19" s="20">
        <v>46084</v>
      </c>
      <c r="B19" s="12" t="s">
        <v>46</v>
      </c>
      <c r="C19" s="12" t="s">
        <v>17</v>
      </c>
      <c r="D19" s="12" t="s">
        <v>69</v>
      </c>
      <c r="E19" s="21">
        <v>1</v>
      </c>
      <c r="F19" s="13">
        <v>288.14</v>
      </c>
      <c r="G19" s="13">
        <f>E19*F19</f>
      </c>
      <c r="H19" s="12" t="s">
        <v>20</v>
      </c>
    </row>
    <row r="20" spans="1:8" x14ac:dyDescent="0.25">
      <c r="A20" s="22">
        <v>46057</v>
      </c>
      <c r="B20" s="15" t="s">
        <v>46</v>
      </c>
      <c r="C20" s="15" t="s">
        <v>17</v>
      </c>
      <c r="D20" s="15" t="s">
        <v>72</v>
      </c>
      <c r="E20" s="23">
        <v>1</v>
      </c>
      <c r="F20" s="16">
        <v>76.52</v>
      </c>
      <c r="G20" s="16">
        <f>E20*F20</f>
      </c>
      <c r="H20" s="15" t="s">
        <v>18</v>
      </c>
    </row>
    <row r="21" spans="1:8" x14ac:dyDescent="0.25">
      <c r="A21" s="20">
        <v>46103</v>
      </c>
      <c r="B21" s="12" t="s">
        <v>46</v>
      </c>
      <c r="C21" s="12" t="s">
        <v>17</v>
      </c>
      <c r="D21" s="12" t="s">
        <v>70</v>
      </c>
      <c r="E21" s="21">
        <v>1</v>
      </c>
      <c r="F21" s="13">
        <v>109.93</v>
      </c>
      <c r="G21" s="13">
        <f>E21*F21</f>
      </c>
      <c r="H21" s="12" t="s">
        <v>20</v>
      </c>
    </row>
    <row r="22" spans="1:8" x14ac:dyDescent="0.25">
      <c r="A22" s="22">
        <v>46153</v>
      </c>
      <c r="B22" s="15" t="s">
        <v>46</v>
      </c>
      <c r="C22" s="15" t="s">
        <v>23</v>
      </c>
      <c r="D22" s="15" t="s">
        <v>72</v>
      </c>
      <c r="E22" s="23">
        <v>1</v>
      </c>
      <c r="F22" s="16">
        <v>348.66</v>
      </c>
      <c r="G22" s="16">
        <f>E22*F22</f>
      </c>
      <c r="H22" s="15" t="s">
        <v>24</v>
      </c>
    </row>
    <row r="23" spans="1:8" x14ac:dyDescent="0.25">
      <c r="A23" s="20">
        <v>46159</v>
      </c>
      <c r="B23" s="12" t="s">
        <v>46</v>
      </c>
      <c r="C23" s="12" t="s">
        <v>19</v>
      </c>
      <c r="D23" s="12" t="s">
        <v>70</v>
      </c>
      <c r="E23" s="21">
        <v>1</v>
      </c>
      <c r="F23" s="13">
        <v>126.63</v>
      </c>
      <c r="G23" s="13">
        <f>E23*F23</f>
      </c>
      <c r="H23" s="12" t="s">
        <v>24</v>
      </c>
    </row>
    <row r="24" spans="1:8" x14ac:dyDescent="0.25">
      <c r="A24" s="22">
        <v>46101</v>
      </c>
      <c r="B24" s="15" t="s">
        <v>46</v>
      </c>
      <c r="C24" s="15" t="s">
        <v>19</v>
      </c>
      <c r="D24" s="15" t="s">
        <v>71</v>
      </c>
      <c r="E24" s="23">
        <v>1</v>
      </c>
      <c r="F24" s="16">
        <v>131.35</v>
      </c>
      <c r="G24" s="16">
        <f>E24*F24</f>
      </c>
      <c r="H24" s="15" t="s">
        <v>20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