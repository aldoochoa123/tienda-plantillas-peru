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<sst xmlns="http://schemas.openxmlformats.org/spreadsheetml/2006/main" count="239" uniqueCount="74">
  <si>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CENTRO DE IDIOMAS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</si>
  <si>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</si>
  <si>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</si>
  <si>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</si>
  <si>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</si>
  <si>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</si>
  <si>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</si>
  <si>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</si>
  <si>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</si>
  <si>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</si>
  <si>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</si>
  <si>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</si>
  <si>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</si>
  <si>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</si>
  <si>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</si>
  <si>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</si>
  <si>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</si>
  <si>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</si>
  <si>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</si>
  <si>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</si>
  <si>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</si>
  <si>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</si>
  <si>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</si>
  <si>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</si>
  <si>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</si>
  <si>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</si>
  <si>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</si>
  <si>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</si>
  <si>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</si>
  <si>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</si>
  <si>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</si>
  <si>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</si>
  <si>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</si>
  <si>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</si>
  <si>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</si>
  <si>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</si>
  <si>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</si>
  <si>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CENTRO DE IDIOMAS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</si>
  <si>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</si>
  <si>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</si>
  <si>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</si>
  <si>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</si>
  <si>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</si>
  <si>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</si>
  <si>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</si>
  <si>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</si>
  <si>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</si>
  <si>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</si>
  <si>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Curso intensivo</t>
  </si>
  <si>
    <t>Boleta</t>
  </si>
  <si>
    <t>Maria Lopez S.A.C.</t>
  </si>
  <si>
    <t>Conversación</t>
  </si>
  <si>
    <t>Inversiones Norte E.I.R.L.</t>
  </si>
  <si>
    <t>Preparación IELTS</t>
  </si>
  <si>
    <t>Comercial Andina</t>
  </si>
  <si>
    <t>Lucía Fernández</t>
  </si>
  <si>
    <t>Clase particular</t>
  </si>
  <si>
    <t>Roberto Castillo</t>
  </si>
  <si>
    <t>Matrícula</t>
  </si>
  <si>
    <t>Distribuidora Sur</t>
  </si>
  <si>
    <t>Mercado Central</t>
  </si>
  <si>
    <t>Mensualidad inglés</t>
  </si>
  <si>
    <t>Mensualidad portugués</t>
  </si>
  <si>
    <t>💡 Agrega más filas copiando el formato. La columna Total ya tiene la fórmula.</t>
  </si>
  <si>
    <t>Centro de Idiomas · Plantilla profesional Pack Perú</t>
  </si>
  <si>
    <t>REGISTRO DE GASTOS — CENTRO DE IDIOMAS</t>
  </si>
  <si>
    <t>Registra cada gasto con su categoría</t>
  </si>
  <si>
    <t>Costo Unit.</t>
  </si>
  <si>
    <t>Compra de insumos</t>
  </si>
  <si>
    <t>Publicidad en Facebook</t>
  </si>
  <si>
    <t>Recibo de luz</t>
  </si>
  <si>
    <t>Sueldo quincenal</t>
  </si>
  <si>
    <t>Gasolina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</si>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</sst>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{A6F4093C-109A-4B3A-A3A4-04795219C125}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{B7794A22-E1B4-4708-89FE-100028571822}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4093C-109A-4B3A-A3A4-04795219C12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7794A22-E1B4-4708-89FE-10002857182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46114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46.2</v>
      </c>
      <c r="G5" s="13">
        <f>E5*F5</f>
      </c>
      <c r="H5" s="12" t="s">
        <v>22</v>
      </c>
    </row>
    <row r="6" spans="1:8" x14ac:dyDescent="0.25">
      <c r="A6" s="22">
        <v>46221</v>
      </c>
      <c r="B6" s="15" t="s">
        <v>49</v>
      </c>
      <c r="C6" s="15" t="s">
        <v>50</v>
      </c>
      <c r="D6" s="15" t="s">
        <v>51</v>
      </c>
      <c r="E6" s="23">
        <v>3</v>
      </c>
      <c r="F6" s="16">
        <v>19</v>
      </c>
      <c r="G6" s="16">
        <f>E6*F6</f>
      </c>
      <c r="H6" s="15" t="s">
        <v>28</v>
      </c>
    </row>
    <row r="7" spans="1:8" x14ac:dyDescent="0.25">
      <c r="A7" s="20">
        <v>46189</v>
      </c>
      <c r="B7" s="12" t="s">
        <v>49</v>
      </c>
      <c r="C7" s="12" t="s">
        <v>52</v>
      </c>
      <c r="D7" s="12" t="s">
        <v>53</v>
      </c>
      <c r="E7" s="21">
        <v>7</v>
      </c>
      <c r="F7" s="13">
        <v>55.4</v>
      </c>
      <c r="G7" s="13">
        <f>E7*F7</f>
      </c>
      <c r="H7" s="12" t="s">
        <v>26</v>
      </c>
    </row>
    <row r="8" spans="1:8" x14ac:dyDescent="0.25">
      <c r="A8" s="22">
        <v>46211</v>
      </c>
      <c r="B8" s="15" t="s">
        <v>46</v>
      </c>
      <c r="C8" s="15" t="s">
        <v>54</v>
      </c>
      <c r="D8" s="15" t="s">
        <v>48</v>
      </c>
      <c r="E8" s="23">
        <v>4</v>
      </c>
      <c r="F8" s="16">
        <v>10.7</v>
      </c>
      <c r="G8" s="16">
        <f>E8*F8</f>
      </c>
      <c r="H8" s="15" t="s">
        <v>28</v>
      </c>
    </row>
    <row r="9" spans="1:8" x14ac:dyDescent="0.25">
      <c r="A9" s="20">
        <v>46220</v>
      </c>
      <c r="B9" s="12" t="s">
        <v>46</v>
      </c>
      <c r="C9" s="12" t="s">
        <v>55</v>
      </c>
      <c r="D9" s="12" t="s">
        <v>48</v>
      </c>
      <c r="E9" s="21">
        <v>2</v>
      </c>
      <c r="F9" s="13">
        <v>48.7</v>
      </c>
      <c r="G9" s="13">
        <f>E9*F9</f>
      </c>
      <c r="H9" s="12" t="s">
        <v>28</v>
      </c>
    </row>
    <row r="10" spans="1:8" x14ac:dyDescent="0.25">
      <c r="A10" s="22">
        <v>46175</v>
      </c>
      <c r="B10" s="15" t="s">
        <v>46</v>
      </c>
      <c r="C10" s="15" t="s">
        <v>52</v>
      </c>
      <c r="D10" s="15" t="s">
        <v>56</v>
      </c>
      <c r="E10" s="23">
        <v>8</v>
      </c>
      <c r="F10" s="16">
        <v>15.4</v>
      </c>
      <c r="G10" s="16">
        <f>E10*F10</f>
      </c>
      <c r="H10" s="15" t="s">
        <v>26</v>
      </c>
    </row>
    <row r="11" spans="1:8" x14ac:dyDescent="0.25">
      <c r="A11" s="20">
        <v>46106</v>
      </c>
      <c r="B11" s="12" t="s">
        <v>46</v>
      </c>
      <c r="C11" s="12" t="s">
        <v>50</v>
      </c>
      <c r="D11" s="12" t="s">
        <v>48</v>
      </c>
      <c r="E11" s="21">
        <v>2</v>
      </c>
      <c r="F11" s="13">
        <v>39.6</v>
      </c>
      <c r="G11" s="13">
        <f>E11*F11</f>
      </c>
      <c r="H11" s="12" t="s">
        <v>20</v>
      </c>
    </row>
    <row r="12" spans="1:8" x14ac:dyDescent="0.25">
      <c r="A12" s="22">
        <v>46159</v>
      </c>
      <c r="B12" s="15" t="s">
        <v>49</v>
      </c>
      <c r="C12" s="15" t="s">
        <v>52</v>
      </c>
      <c r="D12" s="15" t="s">
        <v>48</v>
      </c>
      <c r="E12" s="23">
        <v>4</v>
      </c>
      <c r="F12" s="16">
        <v>50.6</v>
      </c>
      <c r="G12" s="16">
        <f>E12*F12</f>
      </c>
      <c r="H12" s="15" t="s">
        <v>24</v>
      </c>
    </row>
    <row r="13" spans="1:8" x14ac:dyDescent="0.25">
      <c r="A13" s="20">
        <v>46210</v>
      </c>
      <c r="B13" s="12" t="s">
        <v>49</v>
      </c>
      <c r="C13" s="12" t="s">
        <v>57</v>
      </c>
      <c r="D13" s="12" t="s">
        <v>58</v>
      </c>
      <c r="E13" s="21">
        <v>5</v>
      </c>
      <c r="F13" s="13">
        <v>55.6</v>
      </c>
      <c r="G13" s="13">
        <f>E13*F13</f>
      </c>
      <c r="H13" s="12" t="s">
        <v>28</v>
      </c>
    </row>
    <row r="14" spans="1:8" x14ac:dyDescent="0.25">
      <c r="A14" s="22">
        <v>46028</v>
      </c>
      <c r="B14" s="15" t="s">
        <v>46</v>
      </c>
      <c r="C14" s="15" t="s">
        <v>47</v>
      </c>
      <c r="D14" s="15" t="s">
        <v>53</v>
      </c>
      <c r="E14" s="23">
        <v>1</v>
      </c>
      <c r="F14" s="16">
        <v>35.6</v>
      </c>
      <c r="G14" s="16">
        <f>E14*F14</f>
      </c>
      <c r="H14" s="15" t="s">
        <v>16</v>
      </c>
    </row>
    <row r="15" spans="1:8" x14ac:dyDescent="0.25">
      <c r="A15" s="20">
        <v>46156</v>
      </c>
      <c r="B15" s="12" t="s">
        <v>46</v>
      </c>
      <c r="C15" s="12" t="s">
        <v>55</v>
      </c>
      <c r="D15" s="12" t="s">
        <v>56</v>
      </c>
      <c r="E15" s="21">
        <v>2</v>
      </c>
      <c r="F15" s="13">
        <v>26.7</v>
      </c>
      <c r="G15" s="13">
        <f>E15*F15</f>
      </c>
      <c r="H15" s="12" t="s">
        <v>24</v>
      </c>
    </row>
    <row r="16" spans="1:8" x14ac:dyDescent="0.25">
      <c r="A16" s="22">
        <v>46055</v>
      </c>
      <c r="B16" s="15" t="s">
        <v>46</v>
      </c>
      <c r="C16" s="15" t="s">
        <v>59</v>
      </c>
      <c r="D16" s="15" t="s">
        <v>51</v>
      </c>
      <c r="E16" s="23">
        <v>4</v>
      </c>
      <c r="F16" s="16">
        <v>29.2</v>
      </c>
      <c r="G16" s="16">
        <f>E16*F16</f>
      </c>
      <c r="H16" s="15" t="s">
        <v>18</v>
      </c>
    </row>
    <row r="17" spans="1:8" x14ac:dyDescent="0.25">
      <c r="A17" s="20">
        <v>46217</v>
      </c>
      <c r="B17" s="12" t="s">
        <v>49</v>
      </c>
      <c r="C17" s="12" t="s">
        <v>54</v>
      </c>
      <c r="D17" s="12" t="s">
        <v>53</v>
      </c>
      <c r="E17" s="21">
        <v>5</v>
      </c>
      <c r="F17" s="13">
        <v>53.4</v>
      </c>
      <c r="G17" s="13">
        <f>E17*F17</f>
      </c>
      <c r="H17" s="12" t="s">
        <v>28</v>
      </c>
    </row>
    <row r="18" spans="1:8" x14ac:dyDescent="0.25">
      <c r="A18" s="22">
        <v>46083</v>
      </c>
      <c r="B18" s="15" t="s">
        <v>46</v>
      </c>
      <c r="C18" s="15" t="s">
        <v>59</v>
      </c>
      <c r="D18" s="15" t="s">
        <v>58</v>
      </c>
      <c r="E18" s="23">
        <v>3</v>
      </c>
      <c r="F18" s="16">
        <v>12.1</v>
      </c>
      <c r="G18" s="16">
        <f>E18*F18</f>
      </c>
      <c r="H18" s="15" t="s">
        <v>20</v>
      </c>
    </row>
    <row r="19" spans="1:8" x14ac:dyDescent="0.25">
      <c r="A19" s="20">
        <v>46160</v>
      </c>
      <c r="B19" s="12" t="s">
        <v>49</v>
      </c>
      <c r="C19" s="12" t="s">
        <v>60</v>
      </c>
      <c r="D19" s="12" t="s">
        <v>61</v>
      </c>
      <c r="E19" s="21">
        <v>8</v>
      </c>
      <c r="F19" s="13">
        <v>14.7</v>
      </c>
      <c r="G19" s="13">
        <f>E19*F19</f>
      </c>
      <c r="H19" s="12" t="s">
        <v>24</v>
      </c>
    </row>
    <row r="20" spans="1:8" x14ac:dyDescent="0.25">
      <c r="A20" s="22">
        <v>46074</v>
      </c>
      <c r="B20" s="15" t="s">
        <v>49</v>
      </c>
      <c r="C20" s="15" t="s">
        <v>47</v>
      </c>
      <c r="D20" s="15" t="s">
        <v>62</v>
      </c>
      <c r="E20" s="23">
        <v>6</v>
      </c>
      <c r="F20" s="16">
        <v>60.8</v>
      </c>
      <c r="G20" s="16">
        <f>E20*F20</f>
      </c>
      <c r="H20" s="15" t="s">
        <v>18</v>
      </c>
    </row>
    <row r="21" spans="1:8" x14ac:dyDescent="0.25">
      <c r="A21" s="20">
        <v>46143</v>
      </c>
      <c r="B21" s="12" t="s">
        <v>46</v>
      </c>
      <c r="C21" s="12" t="s">
        <v>57</v>
      </c>
      <c r="D21" s="12" t="s">
        <v>61</v>
      </c>
      <c r="E21" s="21">
        <v>1</v>
      </c>
      <c r="F21" s="13">
        <v>42.9</v>
      </c>
      <c r="G21" s="13">
        <f>E21*F21</f>
      </c>
      <c r="H21" s="12" t="s">
        <v>24</v>
      </c>
    </row>
    <row r="22" spans="1:8" x14ac:dyDescent="0.25">
      <c r="A22" s="22">
        <v>46047</v>
      </c>
      <c r="B22" s="15" t="s">
        <v>46</v>
      </c>
      <c r="C22" s="15" t="s">
        <v>57</v>
      </c>
      <c r="D22" s="15" t="s">
        <v>51</v>
      </c>
      <c r="E22" s="23">
        <v>4</v>
      </c>
      <c r="F22" s="16">
        <v>20.7</v>
      </c>
      <c r="G22" s="16">
        <f>E22*F22</f>
      </c>
      <c r="H22" s="15" t="s">
        <v>16</v>
      </c>
    </row>
    <row r="23" spans="1:8" x14ac:dyDescent="0.25">
      <c r="A23" s="20">
        <v>46230</v>
      </c>
      <c r="B23" s="12" t="s">
        <v>46</v>
      </c>
      <c r="C23" s="12" t="s">
        <v>57</v>
      </c>
      <c r="D23" s="12" t="s">
        <v>48</v>
      </c>
      <c r="E23" s="21">
        <v>2</v>
      </c>
      <c r="F23" s="13">
        <v>59.9</v>
      </c>
      <c r="G23" s="13">
        <f>E23*F23</f>
      </c>
      <c r="H23" s="12" t="s">
        <v>28</v>
      </c>
    </row>
    <row r="24" spans="1:8" x14ac:dyDescent="0.25">
      <c r="A24" s="22">
        <v>46204</v>
      </c>
      <c r="B24" s="15" t="s">
        <v>46</v>
      </c>
      <c r="C24" s="15" t="s">
        <v>47</v>
      </c>
      <c r="D24" s="15" t="s">
        <v>58</v>
      </c>
      <c r="E24" s="23">
        <v>4</v>
      </c>
      <c r="F24" s="16">
        <v>40.9</v>
      </c>
      <c r="G24" s="16">
        <f>E24*F24</f>
      </c>
      <c r="H24" s="15" t="s">
        <v>28</v>
      </c>
    </row>
    <row r="25" spans="1:8" x14ac:dyDescent="0.25">
      <c r="A25" s="20">
        <v>46056</v>
      </c>
      <c r="B25" s="12" t="s">
        <v>46</v>
      </c>
      <c r="C25" s="12" t="s">
        <v>55</v>
      </c>
      <c r="D25" s="12" t="s">
        <v>48</v>
      </c>
      <c r="E25" s="21">
        <v>8</v>
      </c>
      <c r="F25" s="13">
        <v>15</v>
      </c>
      <c r="G25" s="13">
        <f>E25*F25</f>
      </c>
      <c r="H25" s="12" t="s">
        <v>18</v>
      </c>
    </row>
    <row r="26" spans="1:8" x14ac:dyDescent="0.25">
      <c r="A26" s="22">
        <v>46168</v>
      </c>
      <c r="B26" s="15" t="s">
        <v>49</v>
      </c>
      <c r="C26" s="15" t="s">
        <v>50</v>
      </c>
      <c r="D26" s="15" t="s">
        <v>61</v>
      </c>
      <c r="E26" s="23">
        <v>2</v>
      </c>
      <c r="F26" s="16">
        <v>23</v>
      </c>
      <c r="G26" s="16">
        <f>E26*F26</f>
      </c>
      <c r="H26" s="15" t="s">
        <v>24</v>
      </c>
    </row>
    <row r="27" spans="1:8" x14ac:dyDescent="0.25">
      <c r="A27" s="20">
        <v>46150</v>
      </c>
      <c r="B27" s="12" t="s">
        <v>46</v>
      </c>
      <c r="C27" s="12" t="s">
        <v>52</v>
      </c>
      <c r="D27" s="12" t="s">
        <v>48</v>
      </c>
      <c r="E27" s="21">
        <v>5</v>
      </c>
      <c r="F27" s="13">
        <v>57.8</v>
      </c>
      <c r="G27" s="13">
        <f>E27*F27</f>
      </c>
      <c r="H27" s="12" t="s">
        <v>24</v>
      </c>
    </row>
    <row r="28" spans="1:8" x14ac:dyDescent="0.25">
      <c r="A28" s="22">
        <v>46099</v>
      </c>
      <c r="B28" s="15" t="s">
        <v>49</v>
      </c>
      <c r="C28" s="15" t="s">
        <v>47</v>
      </c>
      <c r="D28" s="15" t="s">
        <v>58</v>
      </c>
      <c r="E28" s="23">
        <v>7</v>
      </c>
      <c r="F28" s="16">
        <v>43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46031</v>
      </c>
      <c r="B5" s="12" t="s">
        <v>46</v>
      </c>
      <c r="C5" s="12" t="s">
        <v>21</v>
      </c>
      <c r="D5" s="12" t="s">
        <v>68</v>
      </c>
      <c r="E5" s="21">
        <v>1</v>
      </c>
      <c r="F5" s="13">
        <v>335.58</v>
      </c>
      <c r="G5" s="13">
        <f>E5*F5</f>
      </c>
      <c r="H5" s="12" t="s">
        <v>16</v>
      </c>
    </row>
    <row r="6" spans="1:8" x14ac:dyDescent="0.25">
      <c r="A6" s="22">
        <v>46223</v>
      </c>
      <c r="B6" s="15" t="s">
        <v>46</v>
      </c>
      <c r="C6" s="15" t="s">
        <v>23</v>
      </c>
      <c r="D6" s="15" t="s">
        <v>69</v>
      </c>
      <c r="E6" s="23">
        <v>1</v>
      </c>
      <c r="F6" s="16">
        <v>249.17</v>
      </c>
      <c r="G6" s="16">
        <f>E6*F6</f>
      </c>
      <c r="H6" s="15" t="s">
        <v>28</v>
      </c>
    </row>
    <row r="7" spans="1:8" x14ac:dyDescent="0.25">
      <c r="A7" s="20">
        <v>46036</v>
      </c>
      <c r="B7" s="12" t="s">
        <v>46</v>
      </c>
      <c r="C7" s="12" t="s">
        <v>21</v>
      </c>
      <c r="D7" s="12" t="s">
        <v>70</v>
      </c>
      <c r="E7" s="21">
        <v>1</v>
      </c>
      <c r="F7" s="13">
        <v>25.54</v>
      </c>
      <c r="G7" s="13">
        <f>E7*F7</f>
      </c>
      <c r="H7" s="12" t="s">
        <v>16</v>
      </c>
    </row>
    <row r="8" spans="1:8" x14ac:dyDescent="0.25">
      <c r="A8" s="22">
        <v>46070</v>
      </c>
      <c r="B8" s="15" t="s">
        <v>46</v>
      </c>
      <c r="C8" s="15" t="s">
        <v>21</v>
      </c>
      <c r="D8" s="15" t="s">
        <v>68</v>
      </c>
      <c r="E8" s="23">
        <v>1</v>
      </c>
      <c r="F8" s="16">
        <v>386.53</v>
      </c>
      <c r="G8" s="16">
        <f>E8*F8</f>
      </c>
      <c r="H8" s="15" t="s">
        <v>18</v>
      </c>
    </row>
    <row r="9" spans="1:8" x14ac:dyDescent="0.25">
      <c r="A9" s="20">
        <v>46046</v>
      </c>
      <c r="B9" s="12" t="s">
        <v>46</v>
      </c>
      <c r="C9" s="12" t="s">
        <v>25</v>
      </c>
      <c r="D9" s="12" t="s">
        <v>71</v>
      </c>
      <c r="E9" s="21">
        <v>1</v>
      </c>
      <c r="F9" s="13">
        <v>309.24</v>
      </c>
      <c r="G9" s="13">
        <f>E9*F9</f>
      </c>
      <c r="H9" s="12" t="s">
        <v>16</v>
      </c>
    </row>
    <row r="10" spans="1:8" x14ac:dyDescent="0.25">
      <c r="A10" s="22">
        <v>46093</v>
      </c>
      <c r="B10" s="15" t="s">
        <v>46</v>
      </c>
      <c r="C10" s="15" t="s">
        <v>23</v>
      </c>
      <c r="D10" s="15" t="s">
        <v>68</v>
      </c>
      <c r="E10" s="23">
        <v>1</v>
      </c>
      <c r="F10" s="16">
        <v>405.62</v>
      </c>
      <c r="G10" s="16">
        <f>E10*F10</f>
      </c>
      <c r="H10" s="15" t="s">
        <v>20</v>
      </c>
    </row>
    <row r="11" spans="1:8" x14ac:dyDescent="0.25">
      <c r="A11" s="20">
        <v>46031</v>
      </c>
      <c r="B11" s="12" t="s">
        <v>46</v>
      </c>
      <c r="C11" s="12" t="s">
        <v>21</v>
      </c>
      <c r="D11" s="12" t="s">
        <v>72</v>
      </c>
      <c r="E11" s="21">
        <v>1</v>
      </c>
      <c r="F11" s="13">
        <v>405</v>
      </c>
      <c r="G11" s="13">
        <f>E11*F11</f>
      </c>
      <c r="H11" s="12" t="s">
        <v>16</v>
      </c>
    </row>
    <row r="12" spans="1:8" x14ac:dyDescent="0.25">
      <c r="A12" s="22">
        <v>46214</v>
      </c>
      <c r="B12" s="15" t="s">
        <v>46</v>
      </c>
      <c r="C12" s="15" t="s">
        <v>19</v>
      </c>
      <c r="D12" s="15" t="s">
        <v>71</v>
      </c>
      <c r="E12" s="23">
        <v>1</v>
      </c>
      <c r="F12" s="16">
        <v>101.56</v>
      </c>
      <c r="G12" s="16">
        <f>E12*F12</f>
      </c>
      <c r="H12" s="15" t="s">
        <v>28</v>
      </c>
    </row>
    <row r="13" spans="1:8" x14ac:dyDescent="0.25">
      <c r="A13" s="20">
        <v>46145</v>
      </c>
      <c r="B13" s="12" t="s">
        <v>46</v>
      </c>
      <c r="C13" s="12" t="s">
        <v>27</v>
      </c>
      <c r="D13" s="12" t="s">
        <v>71</v>
      </c>
      <c r="E13" s="21">
        <v>1</v>
      </c>
      <c r="F13" s="13">
        <v>339.64</v>
      </c>
      <c r="G13" s="13">
        <f>E13*F13</f>
      </c>
      <c r="H13" s="12" t="s">
        <v>24</v>
      </c>
    </row>
    <row r="14" spans="1:8" x14ac:dyDescent="0.25">
      <c r="A14" s="22">
        <v>46100</v>
      </c>
      <c r="B14" s="15" t="s">
        <v>46</v>
      </c>
      <c r="C14" s="15" t="s">
        <v>21</v>
      </c>
      <c r="D14" s="15" t="s">
        <v>69</v>
      </c>
      <c r="E14" s="23">
        <v>1</v>
      </c>
      <c r="F14" s="16">
        <v>75.43</v>
      </c>
      <c r="G14" s="16">
        <f>E14*F14</f>
      </c>
      <c r="H14" s="15" t="s">
        <v>20</v>
      </c>
    </row>
    <row r="15" spans="1:8" x14ac:dyDescent="0.25">
      <c r="A15" s="20">
        <v>46028</v>
      </c>
      <c r="B15" s="12" t="s">
        <v>46</v>
      </c>
      <c r="C15" s="12" t="s">
        <v>27</v>
      </c>
      <c r="D15" s="12" t="s">
        <v>70</v>
      </c>
      <c r="E15" s="21">
        <v>1</v>
      </c>
      <c r="F15" s="13">
        <v>399.43</v>
      </c>
      <c r="G15" s="13">
        <f>E15*F15</f>
      </c>
      <c r="H15" s="12" t="s">
        <v>16</v>
      </c>
    </row>
    <row r="16" spans="1:8" x14ac:dyDescent="0.25">
      <c r="A16" s="22">
        <v>46079</v>
      </c>
      <c r="B16" s="15" t="s">
        <v>46</v>
      </c>
      <c r="C16" s="15" t="s">
        <v>25</v>
      </c>
      <c r="D16" s="15" t="s">
        <v>73</v>
      </c>
      <c r="E16" s="23">
        <v>1</v>
      </c>
      <c r="F16" s="16">
        <v>237.37</v>
      </c>
      <c r="G16" s="16">
        <f>E16*F16</f>
      </c>
      <c r="H16" s="15" t="s">
        <v>18</v>
      </c>
    </row>
    <row r="17" spans="1:8" x14ac:dyDescent="0.25">
      <c r="A17" s="20">
        <v>46143</v>
      </c>
      <c r="B17" s="12" t="s">
        <v>46</v>
      </c>
      <c r="C17" s="12" t="s">
        <v>27</v>
      </c>
      <c r="D17" s="12" t="s">
        <v>68</v>
      </c>
      <c r="E17" s="21">
        <v>1</v>
      </c>
      <c r="F17" s="13">
        <v>360.28</v>
      </c>
      <c r="G17" s="13">
        <f>E17*F17</f>
      </c>
      <c r="H17" s="12" t="s">
        <v>24</v>
      </c>
    </row>
    <row r="18" spans="1:8" x14ac:dyDescent="0.25">
      <c r="A18" s="22">
        <v>46107</v>
      </c>
      <c r="B18" s="15" t="s">
        <v>46</v>
      </c>
      <c r="C18" s="15" t="s">
        <v>23</v>
      </c>
      <c r="D18" s="15" t="s">
        <v>71</v>
      </c>
      <c r="E18" s="23">
        <v>1</v>
      </c>
      <c r="F18" s="16">
        <v>292.62</v>
      </c>
      <c r="G18" s="16">
        <f>E18*F18</f>
      </c>
      <c r="H18" s="15" t="s">
        <v>20</v>
      </c>
    </row>
    <row r="19" spans="1:8" x14ac:dyDescent="0.25">
      <c r="A19" s="20">
        <v>46023</v>
      </c>
      <c r="B19" s="12" t="s">
        <v>46</v>
      </c>
      <c r="C19" s="12" t="s">
        <v>23</v>
      </c>
      <c r="D19" s="12" t="s">
        <v>72</v>
      </c>
      <c r="E19" s="21">
        <v>1</v>
      </c>
      <c r="F19" s="13">
        <v>315.03</v>
      </c>
      <c r="G19" s="13">
        <f>E19*F19</f>
      </c>
      <c r="H19" s="12" t="s">
        <v>16</v>
      </c>
    </row>
    <row r="20" spans="1:8" x14ac:dyDescent="0.25">
      <c r="A20" s="22">
        <v>46125</v>
      </c>
      <c r="B20" s="15" t="s">
        <v>46</v>
      </c>
      <c r="C20" s="15" t="s">
        <v>27</v>
      </c>
      <c r="D20" s="15" t="s">
        <v>71</v>
      </c>
      <c r="E20" s="23">
        <v>1</v>
      </c>
      <c r="F20" s="16">
        <v>387.52</v>
      </c>
      <c r="G20" s="16">
        <f>E20*F20</f>
      </c>
      <c r="H20" s="15" t="s">
        <v>22</v>
      </c>
    </row>
    <row r="21" spans="1:8" x14ac:dyDescent="0.25">
      <c r="A21" s="20">
        <v>46041</v>
      </c>
      <c r="B21" s="12" t="s">
        <v>46</v>
      </c>
      <c r="C21" s="12" t="s">
        <v>25</v>
      </c>
      <c r="D21" s="12" t="s">
        <v>69</v>
      </c>
      <c r="E21" s="21">
        <v>1</v>
      </c>
      <c r="F21" s="13">
        <v>146.67</v>
      </c>
      <c r="G21" s="13">
        <f>E21*F21</f>
      </c>
      <c r="H21" s="12" t="s">
        <v>16</v>
      </c>
    </row>
    <row r="22" spans="1:8" x14ac:dyDescent="0.25">
      <c r="A22" s="22">
        <v>46037</v>
      </c>
      <c r="B22" s="15" t="s">
        <v>46</v>
      </c>
      <c r="C22" s="15" t="s">
        <v>21</v>
      </c>
      <c r="D22" s="15" t="s">
        <v>72</v>
      </c>
      <c r="E22" s="23">
        <v>1</v>
      </c>
      <c r="F22" s="16">
        <v>270.69</v>
      </c>
      <c r="G22" s="16">
        <f>E22*F22</f>
      </c>
      <c r="H22" s="15" t="s">
        <v>16</v>
      </c>
    </row>
    <row r="23" spans="1:8" x14ac:dyDescent="0.25">
      <c r="A23" s="20">
        <v>46228</v>
      </c>
      <c r="B23" s="12" t="s">
        <v>46</v>
      </c>
      <c r="C23" s="12" t="s">
        <v>21</v>
      </c>
      <c r="D23" s="12" t="s">
        <v>71</v>
      </c>
      <c r="E23" s="21">
        <v>1</v>
      </c>
      <c r="F23" s="13">
        <v>80.67</v>
      </c>
      <c r="G23" s="13">
        <f>E23*F23</f>
      </c>
      <c r="H23" s="12" t="s">
        <v>28</v>
      </c>
    </row>
    <row r="24" spans="1:8" x14ac:dyDescent="0.25">
      <c r="A24" s="22">
        <v>46157</v>
      </c>
      <c r="B24" s="15" t="s">
        <v>46</v>
      </c>
      <c r="C24" s="15" t="s">
        <v>23</v>
      </c>
      <c r="D24" s="15" t="s">
        <v>68</v>
      </c>
      <c r="E24" s="23">
        <v>1</v>
      </c>
      <c r="F24" s="16">
        <v>260.6</v>
      </c>
      <c r="G24" s="16">
        <f>E24*F24</f>
      </c>
      <c r="H24" s="15" t="s">
        <v>24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