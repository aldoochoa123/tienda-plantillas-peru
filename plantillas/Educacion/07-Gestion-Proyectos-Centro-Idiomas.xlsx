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'Proyectos'!$A$10:$A$14</f>
            </numRef>
          </cat>
          <val>
            <numRef>
              <f>'Proyectos'!$G$10:$G$14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'Proyectos'!$A$31:$A$33</f>
            </numRef>
          </cat>
          <val>
            <numRef>
              <f>'Proyectos'!$B$31:$B$33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CENTRO IDIOMAS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5</v>
      </c>
      <c r="C5" s="8" t="n">
        <v>4</v>
      </c>
      <c r="E5" s="9" t="n">
        <v>2</v>
      </c>
      <c r="G5" s="10" t="n">
        <v>96350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19884</v>
      </c>
      <c r="F10" s="14" t="n">
        <v>7163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23519</v>
      </c>
      <c r="F11" s="17" t="n">
        <v>11443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13824</v>
      </c>
      <c r="F12" s="14" t="n">
        <v>11841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13460</v>
      </c>
      <c r="F13" s="17" t="n">
        <v>11152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16523</v>
      </c>
      <c r="F14" s="14" t="n">
        <v>11057</v>
      </c>
      <c r="G14" s="15">
        <f>IF(E14&gt;0,F14/E14,0)</f>
        <v/>
      </c>
      <c r="H14" s="13" t="inlineStr">
        <is>
          <t>Completado</t>
        </is>
      </c>
    </row>
    <row r="30">
      <c r="A30" s="19" t="inlineStr">
        <is>
          <t>ESTADO</t>
        </is>
      </c>
      <c r="B30" s="19" t="inlineStr">
        <is>
          <t>CANTIDAD</t>
        </is>
      </c>
    </row>
    <row r="31">
      <c r="A31" t="inlineStr">
        <is>
          <t>En proceso</t>
        </is>
      </c>
      <c r="B31" t="n">
        <v>4</v>
      </c>
    </row>
    <row r="32">
      <c r="A32" t="inlineStr">
        <is>
          <t>Completado</t>
        </is>
      </c>
      <c r="B32" t="n">
        <v>2</v>
      </c>
    </row>
    <row r="33">
      <c r="A33" t="inlineStr">
        <is>
          <t>Pendiente</t>
        </is>
      </c>
      <c r="B33" t="n">
        <v>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4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4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