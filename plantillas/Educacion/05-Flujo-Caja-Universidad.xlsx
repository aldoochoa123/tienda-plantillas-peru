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UNIVERSIDAD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120000</v>
      </c>
      <c r="C5" s="8" t="n">
        <v>2920000</v>
      </c>
      <c r="E5" s="9" t="n">
        <v>2190000</v>
      </c>
      <c r="G5" s="10" t="n">
        <v>850000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210969</v>
      </c>
      <c r="C10" s="14" t="n">
        <v>168470</v>
      </c>
      <c r="D10" s="14">
        <f>B10-C10</f>
        <v/>
      </c>
      <c r="E10" s="14">
        <f>D10+120000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277384</v>
      </c>
      <c r="C11" s="16" t="n">
        <v>203673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280034</v>
      </c>
      <c r="C12" s="14" t="n">
        <v>187886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286443</v>
      </c>
      <c r="C13" s="16" t="n">
        <v>188376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215921</v>
      </c>
      <c r="C14" s="14" t="n">
        <v>148753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251170</v>
      </c>
      <c r="C15" s="16" t="n">
        <v>151456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193709</v>
      </c>
      <c r="C16" s="14" t="n">
        <v>210519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234981</v>
      </c>
      <c r="C17" s="16" t="n">
        <v>156211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223731</v>
      </c>
      <c r="C18" s="14" t="n">
        <v>145923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211413</v>
      </c>
      <c r="C19" s="16" t="n">
        <v>147043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247699</v>
      </c>
      <c r="C20" s="14" t="n">
        <v>156968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243309</v>
      </c>
      <c r="C21" s="16" t="n">
        <v>207668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766500</v>
      </c>
    </row>
    <row r="42">
      <c r="A42" t="inlineStr">
        <is>
          <t>Alquiler</t>
        </is>
      </c>
      <c r="B42" t="n">
        <v>438000</v>
      </c>
    </row>
    <row r="43">
      <c r="A43" t="inlineStr">
        <is>
          <t>Insumos</t>
        </is>
      </c>
      <c r="B43" t="n">
        <v>394200</v>
      </c>
    </row>
    <row r="44">
      <c r="A44" t="inlineStr">
        <is>
          <t>Servicios</t>
        </is>
      </c>
      <c r="B44" t="n">
        <v>262800</v>
      </c>
    </row>
    <row r="45">
      <c r="A45" t="inlineStr">
        <is>
          <t>Marketing</t>
        </is>
      </c>
      <c r="B45" t="n">
        <v>175200</v>
      </c>
    </row>
    <row r="46">
      <c r="A46" t="inlineStr">
        <is>
          <t>Otros</t>
        </is>
      </c>
      <c r="B46" t="n">
        <v>153300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