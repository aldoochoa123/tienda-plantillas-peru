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Producto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'Ventas'!G9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'Ventas'!$B$10:$B$21</f>
            </numRef>
          </cat>
          <val>
            <numRef>
              <f>'Ventas'!$G$10:$G$21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Ventas por Cliente</a:t>
            </a:r>
          </a:p>
        </rich>
      </tx>
    </title>
    <plotArea>
      <pieChart>
        <varyColors val="1"/>
        <ser>
          <idx val="0"/>
          <order val="0"/>
          <tx>
            <strRef>
              <f>'Ventas'!B40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'Ventas'!$A$41:$A$48</f>
            </numRef>
          </cat>
          <val>
            <numRef>
              <f>'Ventas'!$B$41:$B$48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Diaria</a:t>
            </a:r>
          </a:p>
        </rich>
      </tx>
    </title>
    <plotArea>
      <lineChart>
        <grouping val="standard"/>
        <ser>
          <idx val="0"/>
          <order val="0"/>
          <tx>
            <strRef>
              <f>'Ventas'!F40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'Ventas'!$E$41:$E$70</f>
            </numRef>
          </cat>
          <val>
            <numRef>
              <f>'Ventas'!$F$41:$F$70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4</col>
      <colOff>0</colOff>
      <row>39</row>
      <rowOff>0</rowOff>
    </from>
    <ext cx="57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45" customHeight="1">
      <c r="A1" s="1" t="inlineStr">
        <is>
          <t>CONTROL DE VENTAS — CENTRO IDIOMAS</t>
        </is>
      </c>
    </row>
    <row r="2" ht="28" customHeight="1">
      <c r="A2" s="2" t="inlineStr">
        <is>
          <t>Registro diario con IGV, analisis por producto y cliente</t>
        </is>
      </c>
    </row>
    <row r="4">
      <c r="A4" s="3" t="inlineStr">
        <is>
          <t>VENTAS HOY S/</t>
        </is>
      </c>
      <c r="C4" s="4" t="inlineStr">
        <is>
          <t>VENTAS MES S/</t>
        </is>
      </c>
      <c r="E4" s="5" t="inlineStr">
        <is>
          <t>PRODUCTOS</t>
        </is>
      </c>
      <c r="G4" s="6" t="inlineStr">
        <is>
          <t>TICKET PROM.</t>
        </is>
      </c>
    </row>
    <row r="5" ht="32" customHeight="1">
      <c r="A5" s="7" t="n">
        <v>2000</v>
      </c>
      <c r="C5" s="8" t="n">
        <v>50000</v>
      </c>
      <c r="E5" s="9" t="n">
        <v>53</v>
      </c>
      <c r="G5" s="10" t="inlineStr">
        <is>
          <t>S/ 20</t>
        </is>
      </c>
    </row>
    <row r="8" ht="30" customHeight="1">
      <c r="A8" s="11" t="inlineStr">
        <is>
          <t xml:space="preserve">  REGISTRO DE VENTAS</t>
        </is>
      </c>
    </row>
    <row r="9">
      <c r="A9" s="12" t="inlineStr">
        <is>
          <t>FECHA</t>
        </is>
      </c>
      <c r="B9" s="12" t="inlineStr">
        <is>
          <t>PRODUCTO</t>
        </is>
      </c>
      <c r="C9" s="12" t="inlineStr">
        <is>
          <t>CANT.</t>
        </is>
      </c>
      <c r="D9" s="12" t="inlineStr">
        <is>
          <t>P.UNIT</t>
        </is>
      </c>
      <c r="E9" s="12" t="inlineStr">
        <is>
          <t>SUBTOTAL</t>
        </is>
      </c>
      <c r="F9" s="12" t="inlineStr">
        <is>
          <t>IGV 18%</t>
        </is>
      </c>
      <c r="G9" s="12" t="inlineStr">
        <is>
          <t>TOTAL</t>
        </is>
      </c>
      <c r="H9" s="12" t="inlineStr">
        <is>
          <t>CLIENTE</t>
        </is>
      </c>
      <c r="I9" s="12" t="inlineStr">
        <is>
          <t>ESTADO</t>
        </is>
      </c>
    </row>
    <row r="10">
      <c r="A10" s="13" t="inlineStr">
        <is>
          <t>1/01/2025</t>
        </is>
      </c>
      <c r="B10" s="13" t="inlineStr">
        <is>
          <t>Matricula</t>
        </is>
      </c>
      <c r="C10" s="13" t="n">
        <v>36</v>
      </c>
      <c r="D10" s="14" t="n">
        <v>7.91</v>
      </c>
      <c r="E10" s="14">
        <f>C10*D10</f>
        <v/>
      </c>
      <c r="F10" s="14">
        <f>E10*0.18</f>
        <v/>
      </c>
      <c r="G10" s="14">
        <f>E10+F10</f>
        <v/>
      </c>
      <c r="H10" s="13" t="inlineStr">
        <is>
          <t>Cliente A</t>
        </is>
      </c>
      <c r="I10" s="13" t="inlineStr">
        <is>
          <t>Pagado</t>
        </is>
      </c>
    </row>
    <row r="11">
      <c r="A11" s="15" t="inlineStr">
        <is>
          <t>2/01/2025</t>
        </is>
      </c>
      <c r="B11" s="15" t="inlineStr">
        <is>
          <t>Mensualidad</t>
        </is>
      </c>
      <c r="C11" s="15" t="n">
        <v>23</v>
      </c>
      <c r="D11" s="16" t="n">
        <v>7.87</v>
      </c>
      <c r="E11" s="16">
        <f>C11*D11</f>
        <v/>
      </c>
      <c r="F11" s="16">
        <f>E11*0.18</f>
        <v/>
      </c>
      <c r="G11" s="16">
        <f>E11+F11</f>
        <v/>
      </c>
      <c r="H11" s="15" t="inlineStr">
        <is>
          <t>Cliente B</t>
        </is>
      </c>
      <c r="I11" s="15" t="inlineStr">
        <is>
          <t>Pagado</t>
        </is>
      </c>
    </row>
    <row r="12">
      <c r="A12" s="13" t="inlineStr">
        <is>
          <t>3/01/2025</t>
        </is>
      </c>
      <c r="B12" s="13" t="inlineStr">
        <is>
          <t>Libro</t>
        </is>
      </c>
      <c r="C12" s="13" t="n">
        <v>24</v>
      </c>
      <c r="D12" s="14" t="n">
        <v>34.12</v>
      </c>
      <c r="E12" s="14">
        <f>C12*D12</f>
        <v/>
      </c>
      <c r="F12" s="14">
        <f>E12*0.18</f>
        <v/>
      </c>
      <c r="G12" s="14">
        <f>E12+F12</f>
        <v/>
      </c>
      <c r="H12" s="13" t="inlineStr">
        <is>
          <t>Cliente C</t>
        </is>
      </c>
      <c r="I12" s="13" t="inlineStr">
        <is>
          <t>Pagado</t>
        </is>
      </c>
    </row>
    <row r="13">
      <c r="A13" s="15" t="inlineStr">
        <is>
          <t>4/01/2025</t>
        </is>
      </c>
      <c r="B13" s="15" t="inlineStr">
        <is>
          <t>Examen</t>
        </is>
      </c>
      <c r="C13" s="15" t="n">
        <v>23</v>
      </c>
      <c r="D13" s="16" t="n">
        <v>5.68</v>
      </c>
      <c r="E13" s="16">
        <f>C13*D13</f>
        <v/>
      </c>
      <c r="F13" s="16">
        <f>E13*0.18</f>
        <v/>
      </c>
      <c r="G13" s="16">
        <f>E13+F13</f>
        <v/>
      </c>
      <c r="H13" s="15" t="inlineStr">
        <is>
          <t>Cliente D</t>
        </is>
      </c>
      <c r="I13" s="15" t="inlineStr">
        <is>
          <t>Pagado</t>
        </is>
      </c>
    </row>
    <row r="14">
      <c r="A14" s="13" t="inlineStr">
        <is>
          <t>5/01/2025</t>
        </is>
      </c>
      <c r="B14" s="13" t="inlineStr">
        <is>
          <t>Certificado</t>
        </is>
      </c>
      <c r="C14" s="13" t="n">
        <v>34</v>
      </c>
      <c r="D14" s="14" t="n">
        <v>44.77</v>
      </c>
      <c r="E14" s="14">
        <f>C14*D14</f>
        <v/>
      </c>
      <c r="F14" s="14">
        <f>E14*0.18</f>
        <v/>
      </c>
      <c r="G14" s="14">
        <f>E14+F14</f>
        <v/>
      </c>
      <c r="H14" s="13" t="inlineStr">
        <is>
          <t>Cliente E</t>
        </is>
      </c>
      <c r="I14" s="13" t="inlineStr">
        <is>
          <t>Pagado</t>
        </is>
      </c>
    </row>
    <row r="15">
      <c r="A15" s="15" t="inlineStr">
        <is>
          <t>6/01/2025</t>
        </is>
      </c>
      <c r="B15" s="15" t="inlineStr">
        <is>
          <t>Nivel</t>
        </is>
      </c>
      <c r="C15" s="15" t="n">
        <v>37</v>
      </c>
      <c r="D15" s="16" t="n">
        <v>12.07</v>
      </c>
      <c r="E15" s="16">
        <f>C15*D15</f>
        <v/>
      </c>
      <c r="F15" s="16">
        <f>E15*0.18</f>
        <v/>
      </c>
      <c r="G15" s="16">
        <f>E15+F15</f>
        <v/>
      </c>
      <c r="H15" s="15" t="inlineStr">
        <is>
          <t>Cliente F</t>
        </is>
      </c>
      <c r="I15" s="15" t="inlineStr">
        <is>
          <t>Pagado</t>
        </is>
      </c>
    </row>
    <row r="16">
      <c r="A16" s="13" t="inlineStr">
        <is>
          <t>7/01/2025</t>
        </is>
      </c>
      <c r="B16" s="13" t="inlineStr">
        <is>
          <t>Intensivo</t>
        </is>
      </c>
      <c r="C16" s="13" t="n">
        <v>26</v>
      </c>
      <c r="D16" s="14" t="n">
        <v>33.77</v>
      </c>
      <c r="E16" s="14">
        <f>C16*D16</f>
        <v/>
      </c>
      <c r="F16" s="14">
        <f>E16*0.18</f>
        <v/>
      </c>
      <c r="G16" s="14">
        <f>E16+F16</f>
        <v/>
      </c>
      <c r="H16" s="13" t="inlineStr">
        <is>
          <t>Cliente G</t>
        </is>
      </c>
      <c r="I16" s="13" t="inlineStr">
        <is>
          <t>Pagado</t>
        </is>
      </c>
    </row>
    <row r="17">
      <c r="A17" s="15" t="inlineStr">
        <is>
          <t>8/01/2025</t>
        </is>
      </c>
      <c r="B17" s="15" t="inlineStr">
        <is>
          <t>Particular</t>
        </is>
      </c>
      <c r="C17" s="15" t="n">
        <v>26</v>
      </c>
      <c r="D17" s="16" t="n">
        <v>9.56</v>
      </c>
      <c r="E17" s="16">
        <f>C17*D17</f>
        <v/>
      </c>
      <c r="F17" s="16">
        <f>E17*0.18</f>
        <v/>
      </c>
      <c r="G17" s="16">
        <f>E17+F17</f>
        <v/>
      </c>
      <c r="H17" s="15" t="inlineStr">
        <is>
          <t>Cliente H</t>
        </is>
      </c>
      <c r="I17" s="15" t="inlineStr">
        <is>
          <t>Pagado</t>
        </is>
      </c>
    </row>
    <row r="18">
      <c r="A18" s="13" t="inlineStr">
        <is>
          <t>9/01/2025</t>
        </is>
      </c>
      <c r="B18" s="13" t="inlineStr">
        <is>
          <t>Matricula</t>
        </is>
      </c>
      <c r="C18" s="13" t="n">
        <v>13</v>
      </c>
      <c r="D18" s="14" t="n">
        <v>17.88</v>
      </c>
      <c r="E18" s="14">
        <f>C18*D18</f>
        <v/>
      </c>
      <c r="F18" s="14">
        <f>E18*0.18</f>
        <v/>
      </c>
      <c r="G18" s="14">
        <f>E18+F18</f>
        <v/>
      </c>
      <c r="H18" s="13" t="inlineStr">
        <is>
          <t>Cliente I</t>
        </is>
      </c>
      <c r="I18" s="13" t="inlineStr">
        <is>
          <t>Pendiente</t>
        </is>
      </c>
    </row>
    <row r="19">
      <c r="A19" s="15" t="inlineStr">
        <is>
          <t>10/01/2025</t>
        </is>
      </c>
      <c r="B19" s="15" t="inlineStr">
        <is>
          <t>Mensualidad</t>
        </is>
      </c>
      <c r="C19" s="15" t="n">
        <v>7</v>
      </c>
      <c r="D19" s="16" t="n">
        <v>42.36</v>
      </c>
      <c r="E19" s="16">
        <f>C19*D19</f>
        <v/>
      </c>
      <c r="F19" s="16">
        <f>E19*0.18</f>
        <v/>
      </c>
      <c r="G19" s="16">
        <f>E19+F19</f>
        <v/>
      </c>
      <c r="H19" s="15" t="inlineStr">
        <is>
          <t>Cliente J</t>
        </is>
      </c>
      <c r="I19" s="15" t="inlineStr">
        <is>
          <t>Pagado</t>
        </is>
      </c>
    </row>
    <row r="20">
      <c r="A20" s="13" t="inlineStr">
        <is>
          <t>11/01/2025</t>
        </is>
      </c>
      <c r="B20" s="13" t="inlineStr">
        <is>
          <t>Libro</t>
        </is>
      </c>
      <c r="C20" s="13" t="n">
        <v>24</v>
      </c>
      <c r="D20" s="14" t="n">
        <v>29.07</v>
      </c>
      <c r="E20" s="14">
        <f>C20*D20</f>
        <v/>
      </c>
      <c r="F20" s="14">
        <f>E20*0.18</f>
        <v/>
      </c>
      <c r="G20" s="14">
        <f>E20+F20</f>
        <v/>
      </c>
      <c r="H20" s="13" t="inlineStr">
        <is>
          <t>Cliente A</t>
        </is>
      </c>
      <c r="I20" s="13" t="inlineStr">
        <is>
          <t>Pagado</t>
        </is>
      </c>
    </row>
    <row r="21">
      <c r="A21" s="15" t="inlineStr">
        <is>
          <t>12/01/2025</t>
        </is>
      </c>
      <c r="B21" s="15" t="inlineStr">
        <is>
          <t>Examen</t>
        </is>
      </c>
      <c r="C21" s="15" t="n">
        <v>4</v>
      </c>
      <c r="D21" s="16" t="n">
        <v>35.56</v>
      </c>
      <c r="E21" s="16">
        <f>C21*D21</f>
        <v/>
      </c>
      <c r="F21" s="16">
        <f>E21*0.18</f>
        <v/>
      </c>
      <c r="G21" s="16">
        <f>E21+F21</f>
        <v/>
      </c>
      <c r="H21" s="15" t="inlineStr">
        <is>
          <t>Cliente B</t>
        </is>
      </c>
      <c r="I21" s="15" t="inlineStr">
        <is>
          <t>Pagado</t>
        </is>
      </c>
    </row>
    <row r="22">
      <c r="A22" s="17" t="inlineStr">
        <is>
          <t>TOTALES</t>
        </is>
      </c>
      <c r="C22" s="18">
        <f>SUM(C10:C21)</f>
        <v/>
      </c>
      <c r="E22" s="18">
        <f>SUM(E10:E21)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CLIENTE</t>
        </is>
      </c>
      <c r="B40" s="19" t="inlineStr">
        <is>
          <t>TOTAL</t>
        </is>
      </c>
      <c r="E40" s="19" t="inlineStr">
        <is>
          <t>DIA</t>
        </is>
      </c>
      <c r="F40" s="19" t="inlineStr">
        <is>
          <t>VENTAS</t>
        </is>
      </c>
    </row>
    <row r="41">
      <c r="A41" t="inlineStr">
        <is>
          <t>Cliente A</t>
        </is>
      </c>
      <c r="B41" t="n">
        <v>1376</v>
      </c>
      <c r="E41" t="inlineStr">
        <is>
          <t>Dia 1</t>
        </is>
      </c>
      <c r="F41" t="n">
        <v>1644</v>
      </c>
    </row>
    <row r="42">
      <c r="A42" t="inlineStr">
        <is>
          <t>Cliente B</t>
        </is>
      </c>
      <c r="B42" t="n">
        <v>827</v>
      </c>
      <c r="E42" t="inlineStr">
        <is>
          <t>Dia 2</t>
        </is>
      </c>
      <c r="F42" t="n">
        <v>1850</v>
      </c>
    </row>
    <row r="43">
      <c r="A43" t="inlineStr">
        <is>
          <t>Cliente C</t>
        </is>
      </c>
      <c r="B43" t="n">
        <v>1214</v>
      </c>
      <c r="E43" t="inlineStr">
        <is>
          <t>Dia 3</t>
        </is>
      </c>
      <c r="F43" t="n">
        <v>2004</v>
      </c>
    </row>
    <row r="44">
      <c r="A44" t="inlineStr">
        <is>
          <t>Cliente D</t>
        </is>
      </c>
      <c r="B44" t="n">
        <v>748</v>
      </c>
      <c r="E44" t="inlineStr">
        <is>
          <t>Dia 4</t>
        </is>
      </c>
      <c r="F44" t="n">
        <v>1632</v>
      </c>
    </row>
    <row r="45">
      <c r="A45" t="inlineStr">
        <is>
          <t>Cliente E</t>
        </is>
      </c>
      <c r="B45" t="n">
        <v>1297</v>
      </c>
      <c r="E45" t="inlineStr">
        <is>
          <t>Dia 5</t>
        </is>
      </c>
      <c r="F45" t="n">
        <v>1970</v>
      </c>
    </row>
    <row r="46">
      <c r="A46" t="inlineStr">
        <is>
          <t>Cliente F</t>
        </is>
      </c>
      <c r="B46" t="n">
        <v>1056</v>
      </c>
      <c r="E46" t="inlineStr">
        <is>
          <t>Dia 6</t>
        </is>
      </c>
      <c r="F46" t="n">
        <v>1714</v>
      </c>
    </row>
    <row r="47">
      <c r="A47" t="inlineStr">
        <is>
          <t>Cliente G</t>
        </is>
      </c>
      <c r="B47" t="n">
        <v>916</v>
      </c>
      <c r="E47" t="inlineStr">
        <is>
          <t>Dia 7</t>
        </is>
      </c>
      <c r="F47" t="n">
        <v>1706</v>
      </c>
    </row>
    <row r="48">
      <c r="A48" t="inlineStr">
        <is>
          <t>Cliente H</t>
        </is>
      </c>
      <c r="B48" t="n">
        <v>364</v>
      </c>
      <c r="E48" t="inlineStr">
        <is>
          <t>Dia 8</t>
        </is>
      </c>
      <c r="F48" t="n">
        <v>1817</v>
      </c>
    </row>
    <row r="49">
      <c r="E49" t="inlineStr">
        <is>
          <t>Dia 9</t>
        </is>
      </c>
      <c r="F49" t="n">
        <v>2183</v>
      </c>
    </row>
    <row r="50">
      <c r="E50" t="inlineStr">
        <is>
          <t>Dia 10</t>
        </is>
      </c>
      <c r="F50" t="n">
        <v>1691</v>
      </c>
    </row>
    <row r="51">
      <c r="E51" t="inlineStr">
        <is>
          <t>Dia 11</t>
        </is>
      </c>
      <c r="F51" t="n">
        <v>2299</v>
      </c>
    </row>
    <row r="52">
      <c r="E52" t="inlineStr">
        <is>
          <t>Dia 12</t>
        </is>
      </c>
      <c r="F52" t="n">
        <v>2201</v>
      </c>
    </row>
    <row r="53">
      <c r="E53" t="inlineStr">
        <is>
          <t>Dia 13</t>
        </is>
      </c>
      <c r="F53" t="n">
        <v>1892</v>
      </c>
    </row>
    <row r="54">
      <c r="E54" t="inlineStr">
        <is>
          <t>Dia 14</t>
        </is>
      </c>
      <c r="F54" t="n">
        <v>2285</v>
      </c>
    </row>
    <row r="55">
      <c r="E55" t="inlineStr">
        <is>
          <t>Dia 15</t>
        </is>
      </c>
      <c r="F55" t="n">
        <v>2300</v>
      </c>
    </row>
    <row r="56">
      <c r="E56" t="inlineStr">
        <is>
          <t>Dia 16</t>
        </is>
      </c>
      <c r="F56" t="n">
        <v>1632</v>
      </c>
    </row>
    <row r="57">
      <c r="E57" t="inlineStr">
        <is>
          <t>Dia 17</t>
        </is>
      </c>
      <c r="F57" t="n">
        <v>2079</v>
      </c>
    </row>
    <row r="58">
      <c r="E58" t="inlineStr">
        <is>
          <t>Dia 18</t>
        </is>
      </c>
      <c r="F58" t="n">
        <v>1887</v>
      </c>
    </row>
    <row r="59">
      <c r="E59" t="inlineStr">
        <is>
          <t>Dia 19</t>
        </is>
      </c>
      <c r="F59" t="n">
        <v>1730</v>
      </c>
    </row>
    <row r="60">
      <c r="E60" t="inlineStr">
        <is>
          <t>Dia 20</t>
        </is>
      </c>
      <c r="F60" t="n">
        <v>1647</v>
      </c>
    </row>
    <row r="61">
      <c r="E61" t="inlineStr">
        <is>
          <t>Dia 21</t>
        </is>
      </c>
      <c r="F61" t="n">
        <v>1629</v>
      </c>
    </row>
    <row r="62">
      <c r="E62" t="inlineStr">
        <is>
          <t>Dia 22</t>
        </is>
      </c>
      <c r="F62" t="n">
        <v>2224</v>
      </c>
    </row>
    <row r="63">
      <c r="E63" t="inlineStr">
        <is>
          <t>Dia 23</t>
        </is>
      </c>
      <c r="F63" t="n">
        <v>2208</v>
      </c>
    </row>
    <row r="64">
      <c r="E64" t="inlineStr">
        <is>
          <t>Dia 24</t>
        </is>
      </c>
      <c r="F64" t="n">
        <v>1601</v>
      </c>
    </row>
    <row r="65">
      <c r="E65" t="inlineStr">
        <is>
          <t>Dia 25</t>
        </is>
      </c>
      <c r="F65" t="n">
        <v>2396</v>
      </c>
    </row>
    <row r="66">
      <c r="E66" t="inlineStr">
        <is>
          <t>Dia 26</t>
        </is>
      </c>
      <c r="F66" t="n">
        <v>1998</v>
      </c>
    </row>
    <row r="67">
      <c r="E67" t="inlineStr">
        <is>
          <t>Dia 27</t>
        </is>
      </c>
      <c r="F67" t="n">
        <v>2220</v>
      </c>
    </row>
    <row r="68">
      <c r="E68" t="inlineStr">
        <is>
          <t>Dia 28</t>
        </is>
      </c>
      <c r="F68" t="n">
        <v>2371</v>
      </c>
    </row>
    <row r="69">
      <c r="E69" t="inlineStr">
        <is>
          <t>Dia 29</t>
        </is>
      </c>
      <c r="F69" t="n">
        <v>1823</v>
      </c>
    </row>
    <row r="70">
      <c r="E70" t="inlineStr">
        <is>
          <t>Dia 30</t>
        </is>
      </c>
      <c r="F70" t="n">
        <v>2274</v>
      </c>
    </row>
  </sheetData>
  <mergeCells count="11">
    <mergeCell ref="A4:B4"/>
    <mergeCell ref="G4:H4"/>
    <mergeCell ref="E4:F4"/>
    <mergeCell ref="A2:I2"/>
    <mergeCell ref="C5:D5"/>
    <mergeCell ref="A5:B5"/>
    <mergeCell ref="A1:I1"/>
    <mergeCell ref="E5:F5"/>
    <mergeCell ref="G5:H5"/>
    <mergeCell ref="A8:I8"/>
    <mergeCell ref="C4:D4"/>
  </mergeCells>
  <conditionalFormatting sqref="I10:I21">
    <cfRule type="cellIs" priority="1" operator="equal" dxfId="0">
      <formula>"Pagado"</formula>
    </cfRule>
    <cfRule type="cellIs" priority="2" operator="equal" dxfId="1">
      <formula>"Pendiente"</formula>
    </cfRule>
  </conditionalFormatting>
  <dataValidations count="1">
    <dataValidation sqref="I10:I59" showDropDown="0" showInputMessage="0" showErrorMessage="0" allowBlank="1" error="Seleccione una opción válida" type="list">
      <formula1>"Pagado,Pendiente,Anulado"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2026-09-01T00:21:26Z</dcterms:created>
  <dcterms:modified xsi:type="dcterms:W3CDTF">2026-09-01T00:21:26Z</dcterms:modified>
</cp:coreProperties>
</file>