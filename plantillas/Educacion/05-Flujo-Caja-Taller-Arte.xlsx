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TALLER ARTE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18000</v>
      </c>
      <c r="C5" s="8" t="n">
        <v>438000</v>
      </c>
      <c r="E5" s="9" t="n">
        <v>255500</v>
      </c>
      <c r="G5" s="10" t="n">
        <v>200500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30360</v>
      </c>
      <c r="C10" s="14" t="n">
        <v>18808</v>
      </c>
      <c r="D10" s="14">
        <f>B10-C10</f>
        <v/>
      </c>
      <c r="E10" s="14">
        <f>D10+18000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42708</v>
      </c>
      <c r="C11" s="16" t="n">
        <v>19983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33467</v>
      </c>
      <c r="C12" s="14" t="n">
        <v>17551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29589</v>
      </c>
      <c r="C13" s="16" t="n">
        <v>21382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37110</v>
      </c>
      <c r="C14" s="14" t="n">
        <v>17999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42731</v>
      </c>
      <c r="C15" s="16" t="n">
        <v>20904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29970</v>
      </c>
      <c r="C16" s="14" t="n">
        <v>19742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28880</v>
      </c>
      <c r="C17" s="16" t="n">
        <v>18530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40856</v>
      </c>
      <c r="C18" s="14" t="n">
        <v>22700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43150</v>
      </c>
      <c r="C19" s="16" t="n">
        <v>17287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32384</v>
      </c>
      <c r="C20" s="14" t="n">
        <v>20118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40716</v>
      </c>
      <c r="C21" s="16" t="n">
        <v>19836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89425</v>
      </c>
    </row>
    <row r="42">
      <c r="A42" t="inlineStr">
        <is>
          <t>Alquiler</t>
        </is>
      </c>
      <c r="B42" t="n">
        <v>51100</v>
      </c>
    </row>
    <row r="43">
      <c r="A43" t="inlineStr">
        <is>
          <t>Insumos</t>
        </is>
      </c>
      <c r="B43" t="n">
        <v>45990</v>
      </c>
    </row>
    <row r="44">
      <c r="A44" t="inlineStr">
        <is>
          <t>Servicios</t>
        </is>
      </c>
      <c r="B44" t="n">
        <v>30660</v>
      </c>
    </row>
    <row r="45">
      <c r="A45" t="inlineStr">
        <is>
          <t>Marketing</t>
        </is>
      </c>
      <c r="B45" t="n">
        <v>20440</v>
      </c>
    </row>
    <row r="46">
      <c r="A46" t="inlineStr">
        <is>
          <t>Otros</t>
        </is>
      </c>
      <c r="B46" t="n">
        <v>17885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