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vs Ejecutado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'Presupuesto'!$B$10:$B$21</f>
            </numRef>
          </val>
        </ser>
        <ser>
          <idx val="1"/>
          <order val="1"/>
          <tx>
            <strRef>
              <f>'Presupuesto'!C9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'Presupuesto'!$A$10:$A$21</f>
            </numRef>
          </cat>
          <val>
            <numRef>
              <f>'Presupuesto'!$C$10:$C$21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Ejecucion Mensual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'Presupuesto'!$A$10:$A$21</f>
            </numRef>
          </cat>
          <val>
            <numRef>
              <f>'Presupuesto'!$E$10:$E$21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PRESUPUESTO ANUAL — TALLER ARTE</t>
        </is>
      </c>
    </row>
    <row r="2" ht="28" customHeight="1">
      <c r="A2" s="2" t="inlineStr">
        <is>
          <t>Planificacion financiera con proyecciones y desviaciones</t>
        </is>
      </c>
    </row>
    <row r="4">
      <c r="A4" s="3" t="inlineStr">
        <is>
          <t>PRESUPUESTO S/</t>
        </is>
      </c>
      <c r="C4" s="4" t="inlineStr">
        <is>
          <t>EJECUTADO S/</t>
        </is>
      </c>
      <c r="E4" s="5" t="inlineStr">
        <is>
          <t>DISPONIBLE S/</t>
        </is>
      </c>
      <c r="G4" s="6" t="inlineStr">
        <is>
          <t>% EJECUTADO</t>
        </is>
      </c>
    </row>
    <row r="5" ht="32" customHeight="1">
      <c r="A5" s="7" t="n">
        <v>438000</v>
      </c>
      <c r="C5" s="8" t="n">
        <v>303475</v>
      </c>
      <c r="E5" s="9" t="n">
        <v>134524</v>
      </c>
      <c r="G5" s="10" t="inlineStr">
        <is>
          <t>69.3%</t>
        </is>
      </c>
    </row>
    <row r="8" ht="30" customHeight="1">
      <c r="A8" s="11" t="inlineStr">
        <is>
          <t xml:space="preserve">  PRESUPUESTO vs EJECUCION</t>
        </is>
      </c>
    </row>
    <row r="9">
      <c r="A9" s="12" t="inlineStr">
        <is>
          <t>MES</t>
        </is>
      </c>
      <c r="B9" s="12" t="inlineStr">
        <is>
          <t>PRESUPUESTO</t>
        </is>
      </c>
      <c r="C9" s="12" t="inlineStr">
        <is>
          <t>EJECUTADO</t>
        </is>
      </c>
      <c r="D9" s="12" t="inlineStr">
        <is>
          <t>DESVIACION</t>
        </is>
      </c>
      <c r="E9" s="12" t="inlineStr">
        <is>
          <t>% EJEC.</t>
        </is>
      </c>
      <c r="F9" s="12" t="inlineStr">
        <is>
          <t>IGV</t>
        </is>
      </c>
      <c r="G9" s="12" t="inlineStr">
        <is>
          <t>PROYECCION</t>
        </is>
      </c>
      <c r="H9" s="12" t="inlineStr">
        <is>
          <t>AJUSTE</t>
        </is>
      </c>
    </row>
    <row r="10">
      <c r="A10" s="13" t="inlineStr">
        <is>
          <t>Enero</t>
        </is>
      </c>
      <c r="B10" s="14" t="n">
        <v>40349</v>
      </c>
      <c r="C10" s="14" t="n">
        <v>34972</v>
      </c>
      <c r="D10" s="14">
        <f>B10-C10</f>
        <v/>
      </c>
      <c r="E10" s="15">
        <f>IF(B10&gt;0,C10/B10,0)</f>
        <v/>
      </c>
      <c r="F10" s="14">
        <f>C10*0.18</f>
        <v/>
      </c>
      <c r="G10" s="14">
        <f>B10*1.1</f>
        <v/>
      </c>
      <c r="H10" s="13">
        <f>IF(D10&gt;0,"SOBRE","BAJO")</f>
        <v/>
      </c>
    </row>
    <row r="11">
      <c r="A11" s="16" t="inlineStr">
        <is>
          <t>Febrero</t>
        </is>
      </c>
      <c r="B11" s="17" t="n">
        <v>37878</v>
      </c>
      <c r="C11" s="17" t="n">
        <v>31152</v>
      </c>
      <c r="D11" s="17">
        <f>B11-C11</f>
        <v/>
      </c>
      <c r="E11" s="18">
        <f>IF(B11&gt;0,C11/B11,0)</f>
        <v/>
      </c>
      <c r="F11" s="17">
        <f>C11*0.18</f>
        <v/>
      </c>
      <c r="G11" s="17">
        <f>B11*1.1</f>
        <v/>
      </c>
      <c r="H11" s="16">
        <f>IF(D11&gt;0,"SOBRE","BAJO")</f>
        <v/>
      </c>
    </row>
    <row r="12">
      <c r="A12" s="13" t="inlineStr">
        <is>
          <t>Marzo</t>
        </is>
      </c>
      <c r="B12" s="14" t="n">
        <v>40899</v>
      </c>
      <c r="C12" s="14" t="n">
        <v>23994</v>
      </c>
      <c r="D12" s="14">
        <f>B12-C12</f>
        <v/>
      </c>
      <c r="E12" s="15">
        <f>IF(B12&gt;0,C12/B12,0)</f>
        <v/>
      </c>
      <c r="F12" s="14">
        <f>C12*0.18</f>
        <v/>
      </c>
      <c r="G12" s="14">
        <f>B12*1.1</f>
        <v/>
      </c>
      <c r="H12" s="13">
        <f>IF(D12&gt;0,"SOBRE","BAJO")</f>
        <v/>
      </c>
    </row>
    <row r="13">
      <c r="A13" s="16" t="inlineStr">
        <is>
          <t>Abril</t>
        </is>
      </c>
      <c r="B13" s="17" t="n">
        <v>40028</v>
      </c>
      <c r="C13" s="17" t="n">
        <v>34684</v>
      </c>
      <c r="D13" s="17">
        <f>B13-C13</f>
        <v/>
      </c>
      <c r="E13" s="18">
        <f>IF(B13&gt;0,C13/B13,0)</f>
        <v/>
      </c>
      <c r="F13" s="17">
        <f>C13*0.18</f>
        <v/>
      </c>
      <c r="G13" s="17">
        <f>B13*1.1</f>
        <v/>
      </c>
      <c r="H13" s="16">
        <f>IF(D13&gt;0,"SOBRE","BAJO")</f>
        <v/>
      </c>
    </row>
    <row r="14">
      <c r="A14" s="13" t="inlineStr">
        <is>
          <t>Mayo</t>
        </is>
      </c>
      <c r="B14" s="14" t="n">
        <v>38428</v>
      </c>
      <c r="C14" s="14" t="n">
        <v>21072</v>
      </c>
      <c r="D14" s="14">
        <f>B14-C14</f>
        <v/>
      </c>
      <c r="E14" s="15">
        <f>IF(B14&gt;0,C14/B14,0)</f>
        <v/>
      </c>
      <c r="F14" s="14">
        <f>C14*0.18</f>
        <v/>
      </c>
      <c r="G14" s="14">
        <f>B14*1.1</f>
        <v/>
      </c>
      <c r="H14" s="13">
        <f>IF(D14&gt;0,"SOBRE","BAJO")</f>
        <v/>
      </c>
    </row>
    <row r="15">
      <c r="A15" s="16" t="inlineStr">
        <is>
          <t>Junio</t>
        </is>
      </c>
      <c r="B15" s="17" t="n">
        <v>31449</v>
      </c>
      <c r="C15" s="17" t="n">
        <v>18900</v>
      </c>
      <c r="D15" s="17">
        <f>B15-C15</f>
        <v/>
      </c>
      <c r="E15" s="18">
        <f>IF(B15&gt;0,C15/B15,0)</f>
        <v/>
      </c>
      <c r="F15" s="17">
        <f>C15*0.18</f>
        <v/>
      </c>
      <c r="G15" s="17">
        <f>B15*1.1</f>
        <v/>
      </c>
      <c r="H15" s="16">
        <f>IF(D15&gt;0,"SOBRE","BAJO")</f>
        <v/>
      </c>
    </row>
    <row r="16">
      <c r="A16" s="13" t="inlineStr">
        <is>
          <t>Julio</t>
        </is>
      </c>
      <c r="B16" s="14" t="n">
        <v>34698</v>
      </c>
      <c r="C16" s="14" t="n">
        <v>27578</v>
      </c>
      <c r="D16" s="14">
        <f>B16-C16</f>
        <v/>
      </c>
      <c r="E16" s="15">
        <f>IF(B16&gt;0,C16/B16,0)</f>
        <v/>
      </c>
      <c r="F16" s="14">
        <f>C16*0.18</f>
        <v/>
      </c>
      <c r="G16" s="14">
        <f>B16*1.1</f>
        <v/>
      </c>
      <c r="H16" s="13">
        <f>IF(D16&gt;0,"SOBRE","BAJO")</f>
        <v/>
      </c>
    </row>
    <row r="17">
      <c r="A17" s="16" t="inlineStr">
        <is>
          <t>Agosto</t>
        </is>
      </c>
      <c r="B17" s="17" t="n">
        <v>29828</v>
      </c>
      <c r="C17" s="17" t="n">
        <v>26583</v>
      </c>
      <c r="D17" s="17">
        <f>B17-C17</f>
        <v/>
      </c>
      <c r="E17" s="18">
        <f>IF(B17&gt;0,C17/B17,0)</f>
        <v/>
      </c>
      <c r="F17" s="17">
        <f>C17*0.18</f>
        <v/>
      </c>
      <c r="G17" s="17">
        <f>B17*1.1</f>
        <v/>
      </c>
      <c r="H17" s="16">
        <f>IF(D17&gt;0,"SOBRE","BAJO")</f>
        <v/>
      </c>
    </row>
    <row r="18">
      <c r="A18" s="13" t="inlineStr">
        <is>
          <t>Septiembre</t>
        </is>
      </c>
      <c r="B18" s="14" t="n">
        <v>40036</v>
      </c>
      <c r="C18" s="14" t="n">
        <v>23816</v>
      </c>
      <c r="D18" s="14">
        <f>B18-C18</f>
        <v/>
      </c>
      <c r="E18" s="15">
        <f>IF(B18&gt;0,C18/B18,0)</f>
        <v/>
      </c>
      <c r="F18" s="14">
        <f>C18*0.18</f>
        <v/>
      </c>
      <c r="G18" s="14">
        <f>B18*1.1</f>
        <v/>
      </c>
      <c r="H18" s="13">
        <f>IF(D18&gt;0,"SOBRE","BAJO")</f>
        <v/>
      </c>
    </row>
    <row r="19">
      <c r="A19" s="16" t="inlineStr">
        <is>
          <t>Octubre</t>
        </is>
      </c>
      <c r="B19" s="17" t="n">
        <v>29977</v>
      </c>
      <c r="C19" s="17" t="n">
        <v>24840</v>
      </c>
      <c r="D19" s="17">
        <f>B19-C19</f>
        <v/>
      </c>
      <c r="E19" s="18">
        <f>IF(B19&gt;0,C19/B19,0)</f>
        <v/>
      </c>
      <c r="F19" s="17">
        <f>C19*0.18</f>
        <v/>
      </c>
      <c r="G19" s="17">
        <f>B19*1.1</f>
        <v/>
      </c>
      <c r="H19" s="16">
        <f>IF(D19&gt;0,"SOBRE","BAJO")</f>
        <v/>
      </c>
    </row>
    <row r="20">
      <c r="A20" s="13" t="inlineStr">
        <is>
          <t>Noviembre</t>
        </is>
      </c>
      <c r="B20" s="14" t="n">
        <v>33170</v>
      </c>
      <c r="C20" s="14" t="n">
        <v>24493</v>
      </c>
      <c r="D20" s="14">
        <f>B20-C20</f>
        <v/>
      </c>
      <c r="E20" s="15">
        <f>IF(B20&gt;0,C20/B20,0)</f>
        <v/>
      </c>
      <c r="F20" s="14">
        <f>C20*0.18</f>
        <v/>
      </c>
      <c r="G20" s="14">
        <f>B20*1.1</f>
        <v/>
      </c>
      <c r="H20" s="13">
        <f>IF(D20&gt;0,"SOBRE","BAJO")</f>
        <v/>
      </c>
    </row>
    <row r="21">
      <c r="A21" s="16" t="inlineStr">
        <is>
          <t>Diciembre</t>
        </is>
      </c>
      <c r="B21" s="17" t="n">
        <v>43780</v>
      </c>
      <c r="C21" s="17" t="n">
        <v>35611</v>
      </c>
      <c r="D21" s="17">
        <f>B21-C21</f>
        <v/>
      </c>
      <c r="E21" s="18">
        <f>IF(B21&gt;0,C21/B21,0)</f>
        <v/>
      </c>
      <c r="F21" s="17">
        <f>C21*0.18</f>
        <v/>
      </c>
      <c r="G21" s="17">
        <f>B21*1.1</f>
        <v/>
      </c>
      <c r="H21" s="16">
        <f>IF(D21&gt;0,"SOBRE","BAJO")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0.8</formula>
    </cfRule>
    <cfRule type="cellIs" priority="2" operator="lessThan" dxfId="1">
      <formula>0.5</formula>
    </cfRule>
  </conditionalFormatting>
  <conditionalFormatting sqref="H10:H21">
    <cfRule type="cellIs" priority="3" operator="equal" dxfId="1">
      <formula>"SOBRE"</formula>
    </cfRule>
    <cfRule type="cellIs" priority="4" operator="equal" dxfId="0">
      <formula>"BAJO"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2026-09-01T00:21:28Z</dcterms:created>
  <dcterms:modified xsi:type="dcterms:W3CDTF">2026-09-01T00:21:28Z</dcterms:modified>
</cp:coreProperties>
</file>