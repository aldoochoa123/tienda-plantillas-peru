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'Planilla'!$D$10:$D$20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'Planilla'!B37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'Planilla'!$A$38:$A$39</f>
            </numRef>
          </cat>
          <val>
            <numRef>
              <f>'Planilla'!$B$38:$B$39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'Planilla'!$D$10:$D$20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'Planilla'!$E$10:$E$20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'Planilla'!$F$10:$F$20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'Planilla'!$G$10:$G$20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'Planilla'!$H$10:$H$20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'Planilla'!$I$10:$I$20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'Planilla'!$J$10:$J$20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22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36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40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VIDRIERIA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11</v>
      </c>
      <c r="C5" s="8" t="n">
        <v>660</v>
      </c>
      <c r="E5" s="9" t="n">
        <v>59</v>
      </c>
      <c r="G5" s="10" t="n">
        <v>719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21652869</t>
        </is>
      </c>
      <c r="C10" s="13" t="inlineStr">
        <is>
          <t>Gerente</t>
        </is>
      </c>
      <c r="D10" s="14" t="n">
        <v>259</v>
      </c>
      <c r="E10" s="14">
        <f>D10*0.13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200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52847708</t>
        </is>
      </c>
      <c r="C11" s="15" t="inlineStr">
        <is>
          <t>Vendedor</t>
        </is>
      </c>
      <c r="D11" s="16" t="n">
        <v>200</v>
      </c>
      <c r="E11" s="16">
        <f>D11*0.13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200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88166465</t>
        </is>
      </c>
      <c r="C12" s="13" t="inlineStr">
        <is>
          <t>Cajero</t>
        </is>
      </c>
      <c r="D12" s="14" t="n">
        <v>291</v>
      </c>
      <c r="E12" s="14">
        <f>D12*0.13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200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29398667</t>
        </is>
      </c>
      <c r="C13" s="15" t="inlineStr">
        <is>
          <t>Almacenero</t>
        </is>
      </c>
      <c r="D13" s="16" t="n">
        <v>-61</v>
      </c>
      <c r="E13" s="16">
        <f>D13*0.10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92805371</t>
        </is>
      </c>
      <c r="C14" s="13" t="inlineStr">
        <is>
          <t>Contador</t>
        </is>
      </c>
      <c r="D14" s="14" t="n">
        <v>434</v>
      </c>
      <c r="E14" s="14">
        <f>D14*0.13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200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78240184</t>
        </is>
      </c>
      <c r="C15" s="15" t="inlineStr">
        <is>
          <t>Motorizado</t>
        </is>
      </c>
      <c r="D15" s="16" t="n">
        <v>153</v>
      </c>
      <c r="E15" s="16">
        <f>D15*0.10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100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92305213</t>
        </is>
      </c>
      <c r="C16" s="13" t="inlineStr">
        <is>
          <t>Seguridad</t>
        </is>
      </c>
      <c r="D16" s="14" t="n">
        <v>394</v>
      </c>
      <c r="E16" s="14">
        <f>D16*0.13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54808011</t>
        </is>
      </c>
      <c r="C17" s="15" t="inlineStr">
        <is>
          <t>Limpieza</t>
        </is>
      </c>
      <c r="D17" s="16" t="n">
        <v>146</v>
      </c>
      <c r="E17" s="16">
        <f>D17*0.13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150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43805772</t>
        </is>
      </c>
      <c r="C18" s="13" t="inlineStr">
        <is>
          <t>Auxiliar</t>
        </is>
      </c>
      <c r="D18" s="14" t="n">
        <v>-25</v>
      </c>
      <c r="E18" s="14">
        <f>D18*0.13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100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37128882</t>
        </is>
      </c>
      <c r="C19" s="15" t="inlineStr">
        <is>
          <t>Supervisor</t>
        </is>
      </c>
      <c r="D19" s="16" t="n">
        <v>99</v>
      </c>
      <c r="E19" s="16">
        <f>D19*0.13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200</v>
      </c>
      <c r="L19" s="16">
        <f>D19+F19+H19+I19+J19+K19</f>
        <v/>
      </c>
      <c r="M19" s="16">
        <f>E19</f>
        <v/>
      </c>
    </row>
    <row r="20">
      <c r="A20" s="13" t="inlineStr">
        <is>
          <t>Jorge Morales</t>
        </is>
      </c>
      <c r="B20" s="13" t="inlineStr">
        <is>
          <t>14670891</t>
        </is>
      </c>
      <c r="C20" s="13" t="inlineStr">
        <is>
          <t>Analista</t>
        </is>
      </c>
      <c r="D20" s="14" t="n">
        <v>374</v>
      </c>
      <c r="E20" s="14">
        <f>D20*0.10</f>
        <v/>
      </c>
      <c r="F20" s="14">
        <f>D20*0.09</f>
        <v/>
      </c>
      <c r="G20" s="14">
        <f>D20-E20</f>
        <v/>
      </c>
      <c r="H20" s="14">
        <f>D20/12</f>
        <v/>
      </c>
      <c r="I20" s="14">
        <f>D20/6</f>
        <v/>
      </c>
      <c r="J20" s="14">
        <f>D20/12</f>
        <v/>
      </c>
      <c r="K20" s="14" t="n">
        <v>150</v>
      </c>
      <c r="L20" s="14">
        <f>D20+F20+H20+I20+J20+K20</f>
        <v/>
      </c>
      <c r="M20" s="14">
        <f>E20</f>
        <v/>
      </c>
    </row>
    <row r="21">
      <c r="A21" s="17" t="inlineStr">
        <is>
          <t>TOTALES</t>
        </is>
      </c>
      <c r="D21" s="18">
        <f>SUM(D10:D20)</f>
        <v/>
      </c>
      <c r="E21" s="18">
        <f>SUM(E10:E20)</f>
        <v/>
      </c>
      <c r="F21" s="18">
        <f>SUM(F10:F20)</f>
        <v/>
      </c>
      <c r="G21" s="18">
        <f>SUM(G10:G20)</f>
        <v/>
      </c>
      <c r="H21" s="18">
        <f>SUM(H10:H20)</f>
        <v/>
      </c>
      <c r="I21" s="18">
        <f>SUM(I10:I20)</f>
        <v/>
      </c>
      <c r="J21" s="18">
        <f>SUM(J10:J20)</f>
        <v/>
      </c>
      <c r="K21" s="18">
        <f>SUM(K10:K20)</f>
        <v/>
      </c>
      <c r="L21" s="18">
        <f>SUM(L10:L20)</f>
        <v/>
      </c>
      <c r="M21" s="18">
        <f>SUM(M10:M20)</f>
        <v/>
      </c>
    </row>
    <row r="37">
      <c r="A37" s="19" t="inlineStr">
        <is>
          <t>REGIMEN</t>
        </is>
      </c>
      <c r="B37" s="19" t="inlineStr">
        <is>
          <t>CANTIDAD</t>
        </is>
      </c>
    </row>
    <row r="38">
      <c r="A38" t="inlineStr">
        <is>
          <t>AFP</t>
        </is>
      </c>
      <c r="B38" t="n">
        <v>5</v>
      </c>
    </row>
    <row r="39">
      <c r="A39" t="inlineStr">
        <is>
          <t>ONP</t>
        </is>
      </c>
      <c r="B39" t="n">
        <v>6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Vidrieria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60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2026-09-01T00:21:43Z</dcterms:created>
  <dcterms:modified xsi:type="dcterms:W3CDTF">2026-09-01T00:21:43Z</dcterms:modified>
</cp:coreProperties>
</file>