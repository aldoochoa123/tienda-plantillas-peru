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Egresos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Caja'!$B$10:$B$21</f>
            </numRef>
          </val>
        </ser>
        <ser>
          <idx val="1"/>
          <order val="1"/>
          <tx>
            <strRef>
              <f>'Flujo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Acumulado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Caja'!$A$10:$A$21</f>
            </numRef>
          </cat>
          <val>
            <numRef>
              <f>'Flujo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Egresos</a:t>
            </a:r>
          </a:p>
        </rich>
      </tx>
    </title>
    <plotArea>
      <pieChart>
        <varyColors val="1"/>
        <ser>
          <idx val="0"/>
          <order val="0"/>
          <tx>
            <strRef>
              <f>'Flujo de Caja'!B40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Caja'!$A$41:$A$46</f>
            </numRef>
          </cat>
          <val>
            <numRef>
              <f>'Flujo de Caja'!$B$41:$B$46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FLUJO DE CAJA — TALLER SOLDADURA</t>
        </is>
      </c>
    </row>
    <row r="2" ht="28" customHeight="1">
      <c r="A2" s="2" t="inlineStr">
        <is>
          <t>Proyeccion a 12 meses con analisis de punto de equilibrio</t>
        </is>
      </c>
    </row>
    <row r="4">
      <c r="A4" s="3" t="inlineStr">
        <is>
          <t>SALDO INICIAL S/</t>
        </is>
      </c>
      <c r="C4" s="4" t="inlineStr">
        <is>
          <t>INGRESOS PROY. S/</t>
        </is>
      </c>
      <c r="E4" s="5" t="inlineStr">
        <is>
          <t>EGRESOS PROY. S/</t>
        </is>
      </c>
      <c r="G4" s="6" t="inlineStr">
        <is>
          <t>SALDO FINAL S/</t>
        </is>
      </c>
    </row>
    <row r="5" ht="32" customHeight="1">
      <c r="A5" s="7" t="n">
        <v>37500</v>
      </c>
      <c r="C5" s="8" t="n">
        <v>912500</v>
      </c>
      <c r="E5" s="9" t="n">
        <v>657000</v>
      </c>
      <c r="G5" s="10" t="n">
        <v>293000</v>
      </c>
    </row>
    <row r="8" ht="30" customHeight="1">
      <c r="A8" s="11" t="inlineStr">
        <is>
          <t xml:space="preserve">  PROYECCION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EGRESOS</t>
        </is>
      </c>
      <c r="D9" s="12" t="inlineStr">
        <is>
          <t>FLUJO NETO</t>
        </is>
      </c>
      <c r="E9" s="12" t="inlineStr">
        <is>
          <t>SALDO ACUM.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DISPONIBLE</t>
        </is>
      </c>
    </row>
    <row r="10">
      <c r="A10" s="13" t="inlineStr">
        <is>
          <t>Enero</t>
        </is>
      </c>
      <c r="B10" s="14" t="n">
        <v>74465</v>
      </c>
      <c r="C10" s="14" t="n">
        <v>52434</v>
      </c>
      <c r="D10" s="14">
        <f>B10-C10</f>
        <v/>
      </c>
      <c r="E10" s="14">
        <f>D10+37500</f>
        <v/>
      </c>
      <c r="F10" s="14">
        <f>B10*0.18</f>
        <v/>
      </c>
      <c r="G10" s="14">
        <f>B10*0.015</f>
        <v/>
      </c>
      <c r="H10" s="14">
        <f>E10-F10-G10</f>
        <v/>
      </c>
    </row>
    <row r="11">
      <c r="A11" s="15" t="inlineStr">
        <is>
          <t>Febrero</t>
        </is>
      </c>
      <c r="B11" s="16" t="n">
        <v>77241</v>
      </c>
      <c r="C11" s="16" t="n">
        <v>64434</v>
      </c>
      <c r="D11" s="16">
        <f>B11-C11</f>
        <v/>
      </c>
      <c r="E11" s="16">
        <f>E10+D11</f>
        <v/>
      </c>
      <c r="F11" s="16">
        <f>B11*0.18</f>
        <v/>
      </c>
      <c r="G11" s="16">
        <f>B11*0.015</f>
        <v/>
      </c>
      <c r="H11" s="16">
        <f>E11-F11-G11</f>
        <v/>
      </c>
    </row>
    <row r="12">
      <c r="A12" s="13" t="inlineStr">
        <is>
          <t>Marzo</t>
        </is>
      </c>
      <c r="B12" s="14" t="n">
        <v>88430</v>
      </c>
      <c r="C12" s="14" t="n">
        <v>48168</v>
      </c>
      <c r="D12" s="14">
        <f>B12-C12</f>
        <v/>
      </c>
      <c r="E12" s="14">
        <f>E11+D12</f>
        <v/>
      </c>
      <c r="F12" s="14">
        <f>B12*0.18</f>
        <v/>
      </c>
      <c r="G12" s="14">
        <f>B12*0.015</f>
        <v/>
      </c>
      <c r="H12" s="14">
        <f>E12-F12-G12</f>
        <v/>
      </c>
    </row>
    <row r="13">
      <c r="A13" s="15" t="inlineStr">
        <is>
          <t>Abril</t>
        </is>
      </c>
      <c r="B13" s="16" t="n">
        <v>60857</v>
      </c>
      <c r="C13" s="16" t="n">
        <v>47270</v>
      </c>
      <c r="D13" s="16">
        <f>B13-C13</f>
        <v/>
      </c>
      <c r="E13" s="16">
        <f>E12+D13</f>
        <v/>
      </c>
      <c r="F13" s="16">
        <f>B13*0.18</f>
        <v/>
      </c>
      <c r="G13" s="16">
        <f>B13*0.015</f>
        <v/>
      </c>
      <c r="H13" s="16">
        <f>E13-F13-G13</f>
        <v/>
      </c>
    </row>
    <row r="14">
      <c r="A14" s="13" t="inlineStr">
        <is>
          <t>Mayo</t>
        </is>
      </c>
      <c r="B14" s="14" t="n">
        <v>63602</v>
      </c>
      <c r="C14" s="14" t="n">
        <v>61628</v>
      </c>
      <c r="D14" s="14">
        <f>B14-C14</f>
        <v/>
      </c>
      <c r="E14" s="14">
        <f>E13+D14</f>
        <v/>
      </c>
      <c r="F14" s="14">
        <f>B14*0.18</f>
        <v/>
      </c>
      <c r="G14" s="14">
        <f>B14*0.015</f>
        <v/>
      </c>
      <c r="H14" s="14">
        <f>E14-F14-G14</f>
        <v/>
      </c>
    </row>
    <row r="15">
      <c r="A15" s="15" t="inlineStr">
        <is>
          <t>Junio</t>
        </is>
      </c>
      <c r="B15" s="16" t="n">
        <v>77216</v>
      </c>
      <c r="C15" s="16" t="n">
        <v>53489</v>
      </c>
      <c r="D15" s="16">
        <f>B15-C15</f>
        <v/>
      </c>
      <c r="E15" s="16">
        <f>E14+D15</f>
        <v/>
      </c>
      <c r="F15" s="16">
        <f>B15*0.18</f>
        <v/>
      </c>
      <c r="G15" s="16">
        <f>B15*0.015</f>
        <v/>
      </c>
      <c r="H15" s="16">
        <f>E15-F15-G15</f>
        <v/>
      </c>
    </row>
    <row r="16">
      <c r="A16" s="13" t="inlineStr">
        <is>
          <t>Julio</t>
        </is>
      </c>
      <c r="B16" s="14" t="n">
        <v>77833</v>
      </c>
      <c r="C16" s="14" t="n">
        <v>59650</v>
      </c>
      <c r="D16" s="14">
        <f>B16-C16</f>
        <v/>
      </c>
      <c r="E16" s="14">
        <f>E15+D16</f>
        <v/>
      </c>
      <c r="F16" s="14">
        <f>B16*0.18</f>
        <v/>
      </c>
      <c r="G16" s="14">
        <f>B16*0.015</f>
        <v/>
      </c>
      <c r="H16" s="14">
        <f>E16-F16-G16</f>
        <v/>
      </c>
    </row>
    <row r="17">
      <c r="A17" s="15" t="inlineStr">
        <is>
          <t>Agosto</t>
        </is>
      </c>
      <c r="B17" s="16" t="n">
        <v>61726</v>
      </c>
      <c r="C17" s="16" t="n">
        <v>49845</v>
      </c>
      <c r="D17" s="16">
        <f>B17-C17</f>
        <v/>
      </c>
      <c r="E17" s="16">
        <f>E16+D17</f>
        <v/>
      </c>
      <c r="F17" s="16">
        <f>B17*0.18</f>
        <v/>
      </c>
      <c r="G17" s="16">
        <f>B17*0.015</f>
        <v/>
      </c>
      <c r="H17" s="16">
        <f>E17-F17-G17</f>
        <v/>
      </c>
    </row>
    <row r="18">
      <c r="A18" s="13" t="inlineStr">
        <is>
          <t>Septiembre</t>
        </is>
      </c>
      <c r="B18" s="14" t="n">
        <v>87509</v>
      </c>
      <c r="C18" s="14" t="n">
        <v>64431</v>
      </c>
      <c r="D18" s="14">
        <f>B18-C18</f>
        <v/>
      </c>
      <c r="E18" s="14">
        <f>E17+D18</f>
        <v/>
      </c>
      <c r="F18" s="14">
        <f>B18*0.18</f>
        <v/>
      </c>
      <c r="G18" s="14">
        <f>B18*0.015</f>
        <v/>
      </c>
      <c r="H18" s="14">
        <f>E18-F18-G18</f>
        <v/>
      </c>
    </row>
    <row r="19">
      <c r="A19" s="15" t="inlineStr">
        <is>
          <t>Octubre</t>
        </is>
      </c>
      <c r="B19" s="16" t="n">
        <v>67814</v>
      </c>
      <c r="C19" s="16" t="n">
        <v>61757</v>
      </c>
      <c r="D19" s="16">
        <f>B19-C19</f>
        <v/>
      </c>
      <c r="E19" s="16">
        <f>E18+D19</f>
        <v/>
      </c>
      <c r="F19" s="16">
        <f>B19*0.18</f>
        <v/>
      </c>
      <c r="G19" s="16">
        <f>B19*0.015</f>
        <v/>
      </c>
      <c r="H19" s="16">
        <f>E19-F19-G19</f>
        <v/>
      </c>
    </row>
    <row r="20">
      <c r="A20" s="13" t="inlineStr">
        <is>
          <t>Noviembre</t>
        </is>
      </c>
      <c r="B20" s="14" t="n">
        <v>81931</v>
      </c>
      <c r="C20" s="14" t="n">
        <v>61999</v>
      </c>
      <c r="D20" s="14">
        <f>B20-C20</f>
        <v/>
      </c>
      <c r="E20" s="14">
        <f>E19+D20</f>
        <v/>
      </c>
      <c r="F20" s="14">
        <f>B20*0.18</f>
        <v/>
      </c>
      <c r="G20" s="14">
        <f>B20*0.015</f>
        <v/>
      </c>
      <c r="H20" s="14">
        <f>E20-F20-G20</f>
        <v/>
      </c>
    </row>
    <row r="21">
      <c r="A21" s="15" t="inlineStr">
        <is>
          <t>Diciembre</t>
        </is>
      </c>
      <c r="B21" s="16" t="n">
        <v>71665</v>
      </c>
      <c r="C21" s="16" t="n">
        <v>48621</v>
      </c>
      <c r="D21" s="16">
        <f>B21-C21</f>
        <v/>
      </c>
      <c r="E21" s="16">
        <f>E20+D21</f>
        <v/>
      </c>
      <c r="F21" s="16">
        <f>B21*0.18</f>
        <v/>
      </c>
      <c r="G21" s="16">
        <f>B21*0.015</f>
        <v/>
      </c>
      <c r="H21" s="16">
        <f>E21-F21-G21</f>
        <v/>
      </c>
    </row>
    <row r="22">
      <c r="A22" s="17" t="inlineStr">
        <is>
          <t>TOTALES</t>
        </is>
      </c>
      <c r="B22" s="18">
        <f>SUM(B10:B21)</f>
        <v/>
      </c>
      <c r="C22" s="18">
        <f>SUM(C10:C21)</f>
        <v/>
      </c>
      <c r="D22" s="18">
        <f>SUM(D10:D21)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CATEGORIA</t>
        </is>
      </c>
      <c r="B40" s="19" t="inlineStr">
        <is>
          <t>MONTO</t>
        </is>
      </c>
    </row>
    <row r="41">
      <c r="A41" t="inlineStr">
        <is>
          <t>Personal</t>
        </is>
      </c>
      <c r="B41" t="n">
        <v>229949</v>
      </c>
    </row>
    <row r="42">
      <c r="A42" t="inlineStr">
        <is>
          <t>Alquiler</t>
        </is>
      </c>
      <c r="B42" t="n">
        <v>131400</v>
      </c>
    </row>
    <row r="43">
      <c r="A43" t="inlineStr">
        <is>
          <t>Insumos</t>
        </is>
      </c>
      <c r="B43" t="n">
        <v>118260</v>
      </c>
    </row>
    <row r="44">
      <c r="A44" t="inlineStr">
        <is>
          <t>Servicios</t>
        </is>
      </c>
      <c r="B44" t="n">
        <v>78840</v>
      </c>
    </row>
    <row r="45">
      <c r="A45" t="inlineStr">
        <is>
          <t>Marketing</t>
        </is>
      </c>
      <c r="B45" t="n">
        <v>52560</v>
      </c>
    </row>
    <row r="46">
      <c r="A46" t="inlineStr">
        <is>
          <t>Otros</t>
        </is>
      </c>
      <c r="B46" t="n">
        <v>45990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2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2026-09-01T00:21:40Z</dcterms:created>
  <dcterms:modified xsi:type="dcterms:W3CDTF">2026-09-01T00:21:40Z</dcterms:modified>
</cp:coreProperties>
</file>