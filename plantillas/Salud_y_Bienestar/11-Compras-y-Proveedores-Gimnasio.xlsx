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pras y Proveedor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  <font>
      <name val="Calibri"/>
      <b val="1"/>
      <color rgb="001B1464"/>
      <sz val="11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E84393"/>
        <bgColor rgb="00E84393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164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3" fontId="8" fillId="0" borderId="0" pivotButton="0" quotePrefix="0" xfId="0"/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Compras y Proveedores — Barras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'Compras y Proveedores'!B9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'Compras y Proveedores'!$A$10:$A$21</f>
            </numRef>
          </cat>
          <val>
            <numRef>
              <f>'Compras y Proveedores'!$B$10:$B$21</f>
            </numRef>
          </val>
        </ser>
        <ser>
          <idx val="1"/>
          <order val="1"/>
          <tx>
            <strRef>
              <f>'Compras y Proveedores'!C9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'Compras y Proveedores'!$A$10:$A$21</f>
            </numRef>
          </cat>
          <val>
            <numRef>
              <f>'Compras y Proveedores'!$C$10:$C$21</f>
            </numRef>
          </val>
        </ser>
        <ser>
          <idx val="2"/>
          <order val="2"/>
          <tx>
            <strRef>
              <f>'Compras y Proveedores'!D9</f>
            </strRef>
          </tx>
          <spPr>
            <a:solidFill>
              <a:srgbClr val="E17055"/>
            </a:solidFill>
            <a:ln>
              <a:prstDash val="solid"/>
            </a:ln>
          </spPr>
          <cat>
            <numRef>
              <f>'Compras y Proveedores'!$A$10:$A$21</f>
            </numRef>
          </cat>
          <val>
            <numRef>
              <f>'Compras y Proveedores'!$D$10:$D$21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Compras y Proveedores — Tendencia</a:t>
            </a:r>
          </a:p>
        </rich>
      </tx>
    </title>
    <plotArea>
      <lineChart>
        <grouping val="standard"/>
        <ser>
          <idx val="0"/>
          <order val="0"/>
          <tx>
            <strRef>
              <f>'Compras y Proveedores'!E9</f>
            </strRef>
          </tx>
          <spPr>
            <a:ln w="25000">
              <a:solidFill>
                <a:srgbClr val="00B89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'Compras y Proveedores'!$A$10:$A$21</f>
            </numRef>
          </cat>
          <val>
            <numRef>
              <f>'Compras y Proveedores'!$E$10:$E$21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Compras y Proveedores — Distribucion</a:t>
            </a:r>
          </a:p>
        </rich>
      </tx>
    </title>
    <plotArea>
      <pieChart>
        <varyColors val="1"/>
        <ser>
          <idx val="0"/>
          <order val="0"/>
          <tx>
            <strRef>
              <f>'Compras y Proveedores'!B38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'Compras y Proveedores'!$A$39:$A$41</f>
            </numRef>
          </cat>
          <val>
            <numRef>
              <f>'Compras y Proveedores'!$B$39:$B$41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23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23</row>
      <rowOff>0</rowOff>
    </from>
    <ext cx="576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3</col>
      <colOff>0</colOff>
      <row>37</row>
      <rowOff>0</rowOff>
    </from>
    <ext cx="5040000" cy="36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E84393"/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COMPRAS Y PROVEEDORES — GIMNASIO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4" t="inlineStr">
        <is>
          <t>PROMEDIO S/</t>
        </is>
      </c>
      <c r="E4" s="5" t="inlineStr">
        <is>
          <t>MAXIMO S/</t>
        </is>
      </c>
      <c r="G4" s="6" t="inlineStr">
        <is>
          <t>MINIMO S/</t>
        </is>
      </c>
    </row>
    <row r="5" ht="32" customHeight="1">
      <c r="A5" s="7" t="n">
        <v>24000</v>
      </c>
      <c r="C5" s="8" t="n">
        <v>2000</v>
      </c>
      <c r="E5" s="9" t="n">
        <v>2600</v>
      </c>
      <c r="G5" s="10" t="n">
        <v>1400</v>
      </c>
    </row>
    <row r="8" ht="30" customHeight="1">
      <c r="A8" s="11" t="inlineStr">
        <is>
          <t xml:space="preserve">  DATOS MENSUALES</t>
        </is>
      </c>
    </row>
    <row r="9">
      <c r="A9" s="12" t="inlineStr">
        <is>
          <t>MES</t>
        </is>
      </c>
      <c r="B9" s="12" t="inlineStr">
        <is>
          <t>CONCEPTO A</t>
        </is>
      </c>
      <c r="C9" s="12" t="inlineStr">
        <is>
          <t>CONCEPTO B</t>
        </is>
      </c>
      <c r="D9" s="12" t="inlineStr">
        <is>
          <t>CONCEPTO C</t>
        </is>
      </c>
      <c r="E9" s="12" t="inlineStr">
        <is>
          <t>TOTAL</t>
        </is>
      </c>
      <c r="F9" s="12" t="inlineStr">
        <is>
          <t>PROMEDIO</t>
        </is>
      </c>
      <c r="G9" s="12" t="inlineStr">
        <is>
          <t>% DEL TOTAL</t>
        </is>
      </c>
      <c r="H9" s="12" t="inlineStr">
        <is>
          <t>TENDENCIA</t>
        </is>
      </c>
    </row>
    <row r="10">
      <c r="A10" s="13" t="inlineStr">
        <is>
          <t>Enero</t>
        </is>
      </c>
      <c r="B10" s="14" t="n">
        <v>2254</v>
      </c>
      <c r="C10" s="14" t="n">
        <v>1344</v>
      </c>
      <c r="D10" s="14" t="n">
        <v>637</v>
      </c>
      <c r="E10" s="14">
        <f>B10+C10+D10</f>
        <v/>
      </c>
      <c r="F10" s="14">
        <f>E10/3</f>
        <v/>
      </c>
      <c r="G10" s="15">
        <f>IF(E10&gt;0,B10/E10,0)</f>
        <v/>
      </c>
      <c r="H10" s="13" t="inlineStr">
        <is>
          <t>—</t>
        </is>
      </c>
    </row>
    <row r="11">
      <c r="A11" s="16" t="inlineStr">
        <is>
          <t>Febrero</t>
        </is>
      </c>
      <c r="B11" s="17" t="n">
        <v>1630</v>
      </c>
      <c r="C11" s="17" t="n">
        <v>1427</v>
      </c>
      <c r="D11" s="17" t="n">
        <v>622</v>
      </c>
      <c r="E11" s="17">
        <f>B11+C11+D11</f>
        <v/>
      </c>
      <c r="F11" s="17">
        <f>E11/3</f>
        <v/>
      </c>
      <c r="G11" s="18">
        <f>IF(E11&gt;0,B11/E11,0)</f>
        <v/>
      </c>
      <c r="H11" s="16">
        <f>IF(B11&gt;B10,"SUBIO","BAJO")</f>
        <v/>
      </c>
    </row>
    <row r="12">
      <c r="A12" s="13" t="inlineStr">
        <is>
          <t>Marzo</t>
        </is>
      </c>
      <c r="B12" s="14" t="n">
        <v>1624</v>
      </c>
      <c r="C12" s="14" t="n">
        <v>1394</v>
      </c>
      <c r="D12" s="14" t="n">
        <v>684</v>
      </c>
      <c r="E12" s="14">
        <f>B12+C12+D12</f>
        <v/>
      </c>
      <c r="F12" s="14">
        <f>E12/3</f>
        <v/>
      </c>
      <c r="G12" s="15">
        <f>IF(E12&gt;0,B12/E12,0)</f>
        <v/>
      </c>
      <c r="H12" s="13">
        <f>IF(B12&gt;B11,"SUBIO","BAJO")</f>
        <v/>
      </c>
    </row>
    <row r="13">
      <c r="A13" s="16" t="inlineStr">
        <is>
          <t>Abril</t>
        </is>
      </c>
      <c r="B13" s="17" t="n">
        <v>1737</v>
      </c>
      <c r="C13" s="17" t="n">
        <v>985</v>
      </c>
      <c r="D13" s="17" t="n">
        <v>652</v>
      </c>
      <c r="E13" s="17">
        <f>B13+C13+D13</f>
        <v/>
      </c>
      <c r="F13" s="17">
        <f>E13/3</f>
        <v/>
      </c>
      <c r="G13" s="18">
        <f>IF(E13&gt;0,B13/E13,0)</f>
        <v/>
      </c>
      <c r="H13" s="16">
        <f>IF(B13&gt;B12,"SUBIO","BAJO")</f>
        <v/>
      </c>
    </row>
    <row r="14">
      <c r="A14" s="13" t="inlineStr">
        <is>
          <t>Mayo</t>
        </is>
      </c>
      <c r="B14" s="14" t="n">
        <v>2217</v>
      </c>
      <c r="C14" s="14" t="n">
        <v>1269</v>
      </c>
      <c r="D14" s="14" t="n">
        <v>552</v>
      </c>
      <c r="E14" s="14">
        <f>B14+C14+D14</f>
        <v/>
      </c>
      <c r="F14" s="14">
        <f>E14/3</f>
        <v/>
      </c>
      <c r="G14" s="15">
        <f>IF(E14&gt;0,B14/E14,0)</f>
        <v/>
      </c>
      <c r="H14" s="13">
        <f>IF(B14&gt;B13,"SUBIO","BAJO")</f>
        <v/>
      </c>
    </row>
    <row r="15">
      <c r="A15" s="16" t="inlineStr">
        <is>
          <t>Junio</t>
        </is>
      </c>
      <c r="B15" s="17" t="n">
        <v>2297</v>
      </c>
      <c r="C15" s="17" t="n">
        <v>1104</v>
      </c>
      <c r="D15" s="17" t="n">
        <v>573</v>
      </c>
      <c r="E15" s="17">
        <f>B15+C15+D15</f>
        <v/>
      </c>
      <c r="F15" s="17">
        <f>E15/3</f>
        <v/>
      </c>
      <c r="G15" s="18">
        <f>IF(E15&gt;0,B15/E15,0)</f>
        <v/>
      </c>
      <c r="H15" s="16">
        <f>IF(B15&gt;B14,"SUBIO","BAJO")</f>
        <v/>
      </c>
    </row>
    <row r="16">
      <c r="A16" s="13" t="inlineStr">
        <is>
          <t>Julio</t>
        </is>
      </c>
      <c r="B16" s="14" t="n">
        <v>2130</v>
      </c>
      <c r="C16" s="14" t="n">
        <v>1077</v>
      </c>
      <c r="D16" s="14" t="n">
        <v>592</v>
      </c>
      <c r="E16" s="14">
        <f>B16+C16+D16</f>
        <v/>
      </c>
      <c r="F16" s="14">
        <f>E16/3</f>
        <v/>
      </c>
      <c r="G16" s="15">
        <f>IF(E16&gt;0,B16/E16,0)</f>
        <v/>
      </c>
      <c r="H16" s="13">
        <f>IF(B16&gt;B15,"SUBIO","BAJO")</f>
        <v/>
      </c>
    </row>
    <row r="17">
      <c r="A17" s="16" t="inlineStr">
        <is>
          <t>Agosto</t>
        </is>
      </c>
      <c r="B17" s="17" t="n">
        <v>1858</v>
      </c>
      <c r="C17" s="17" t="n">
        <v>1359</v>
      </c>
      <c r="D17" s="17" t="n">
        <v>539</v>
      </c>
      <c r="E17" s="17">
        <f>B17+C17+D17</f>
        <v/>
      </c>
      <c r="F17" s="17">
        <f>E17/3</f>
        <v/>
      </c>
      <c r="G17" s="18">
        <f>IF(E17&gt;0,B17/E17,0)</f>
        <v/>
      </c>
      <c r="H17" s="16">
        <f>IF(B17&gt;B16,"SUBIO","BAJO")</f>
        <v/>
      </c>
    </row>
    <row r="18">
      <c r="A18" s="13" t="inlineStr">
        <is>
          <t>Septiembre</t>
        </is>
      </c>
      <c r="B18" s="14" t="n">
        <v>2175</v>
      </c>
      <c r="C18" s="14" t="n">
        <v>1025</v>
      </c>
      <c r="D18" s="14" t="n">
        <v>656</v>
      </c>
      <c r="E18" s="14">
        <f>B18+C18+D18</f>
        <v/>
      </c>
      <c r="F18" s="14">
        <f>E18/3</f>
        <v/>
      </c>
      <c r="G18" s="15">
        <f>IF(E18&gt;0,B18/E18,0)</f>
        <v/>
      </c>
      <c r="H18" s="13">
        <f>IF(B18&gt;B17,"SUBIO","BAJO")</f>
        <v/>
      </c>
    </row>
    <row r="19">
      <c r="A19" s="16" t="inlineStr">
        <is>
          <t>Octubre</t>
        </is>
      </c>
      <c r="B19" s="17" t="n">
        <v>1600</v>
      </c>
      <c r="C19" s="17" t="n">
        <v>1372</v>
      </c>
      <c r="D19" s="17" t="n">
        <v>556</v>
      </c>
      <c r="E19" s="17">
        <f>B19+C19+D19</f>
        <v/>
      </c>
      <c r="F19" s="17">
        <f>E19/3</f>
        <v/>
      </c>
      <c r="G19" s="18">
        <f>IF(E19&gt;0,B19/E19,0)</f>
        <v/>
      </c>
      <c r="H19" s="16">
        <f>IF(B19&gt;B18,"SUBIO","BAJO")</f>
        <v/>
      </c>
    </row>
    <row r="20">
      <c r="A20" s="13" t="inlineStr">
        <is>
          <t>Noviembre</t>
        </is>
      </c>
      <c r="B20" s="14" t="n">
        <v>2370</v>
      </c>
      <c r="C20" s="14" t="n">
        <v>1045</v>
      </c>
      <c r="D20" s="14" t="n">
        <v>607</v>
      </c>
      <c r="E20" s="14">
        <f>B20+C20+D20</f>
        <v/>
      </c>
      <c r="F20" s="14">
        <f>E20/3</f>
        <v/>
      </c>
      <c r="G20" s="15">
        <f>IF(E20&gt;0,B20/E20,0)</f>
        <v/>
      </c>
      <c r="H20" s="13">
        <f>IF(B20&gt;B19,"SUBIO","BAJO")</f>
        <v/>
      </c>
    </row>
    <row r="21">
      <c r="A21" s="16" t="inlineStr">
        <is>
          <t>Diciembre</t>
        </is>
      </c>
      <c r="B21" s="17" t="n">
        <v>2093</v>
      </c>
      <c r="C21" s="17" t="n">
        <v>1328</v>
      </c>
      <c r="D21" s="17" t="n">
        <v>681</v>
      </c>
      <c r="E21" s="17">
        <f>B21+C21+D21</f>
        <v/>
      </c>
      <c r="F21" s="17">
        <f>E21/3</f>
        <v/>
      </c>
      <c r="G21" s="18">
        <f>IF(E21&gt;0,B21/E21,0)</f>
        <v/>
      </c>
      <c r="H21" s="16">
        <f>IF(B21&gt;B20,"SUBIO","BAJO")</f>
        <v/>
      </c>
    </row>
    <row r="22">
      <c r="A22" s="19" t="inlineStr">
        <is>
          <t>TOTAL</t>
        </is>
      </c>
      <c r="B22" s="20">
        <f>SUM(B10:B21)</f>
        <v/>
      </c>
      <c r="C22" s="20">
        <f>SUM(C10:C21)</f>
        <v/>
      </c>
      <c r="D22" s="20">
        <f>SUM(D10:D21)</f>
        <v/>
      </c>
      <c r="E22" s="20">
        <f>SUM(E10:E21)</f>
        <v/>
      </c>
    </row>
    <row r="38">
      <c r="A38" s="21" t="inlineStr">
        <is>
          <t>CONCEPTO</t>
        </is>
      </c>
      <c r="B38" s="21" t="inlineStr">
        <is>
          <t>TOTAL ANUAL</t>
        </is>
      </c>
    </row>
    <row r="39">
      <c r="A39" t="inlineStr">
        <is>
          <t>Concepto A</t>
        </is>
      </c>
      <c r="B39" t="n">
        <v>11556</v>
      </c>
    </row>
    <row r="40">
      <c r="A40" t="inlineStr">
        <is>
          <t>Concepto B</t>
        </is>
      </c>
      <c r="B40" t="n">
        <v>8488</v>
      </c>
    </row>
    <row r="41">
      <c r="A41" t="inlineStr">
        <is>
          <t>Concepto C</t>
        </is>
      </c>
      <c r="B41" t="n">
        <v>9710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H10:H21">
    <cfRule type="cellIs" priority="1" operator="equal" dxfId="0">
      <formula>"SUBIO"</formula>
    </cfRule>
    <cfRule type="cellIs" priority="2" operator="equal" dxfId="1">
      <formula>"BAJO"</formula>
    </cfRule>
  </conditionalFormatting>
  <conditionalFormatting sqref="E10:E21">
    <cfRule type="colorScale" priority="3">
      <colorScale>
        <cfvo type="min"/>
        <cfvo type="percentile" val="50"/>
        <cfvo type="max"/>
        <color rgb="00FF7675"/>
        <color rgb="00FFEAA7"/>
        <color rgb="0055EFC4"/>
      </colorScale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2026-09-01T00:21:18Z</dcterms:created>
  <dcterms:modified xsi:type="dcterms:W3CDTF">2026-09-01T00:21:18Z</dcterms:modified>
</cp:coreProperties>
</file>