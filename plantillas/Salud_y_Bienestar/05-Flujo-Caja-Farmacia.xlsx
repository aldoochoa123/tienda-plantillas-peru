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FARMACIA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45000</v>
      </c>
      <c r="C5" s="8" t="n">
        <v>1095000</v>
      </c>
      <c r="E5" s="9" t="n">
        <v>803000</v>
      </c>
      <c r="G5" s="10" t="n">
        <v>337000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74891</v>
      </c>
      <c r="C10" s="14" t="n">
        <v>72585</v>
      </c>
      <c r="D10" s="14">
        <f>B10-C10</f>
        <v/>
      </c>
      <c r="E10" s="14">
        <f>D10+45000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78069</v>
      </c>
      <c r="C11" s="16" t="n">
        <v>77059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97184</v>
      </c>
      <c r="C12" s="14" t="n">
        <v>63013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107420</v>
      </c>
      <c r="C13" s="16" t="n">
        <v>79070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95143</v>
      </c>
      <c r="C14" s="14" t="n">
        <v>72937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95206</v>
      </c>
      <c r="C15" s="16" t="n">
        <v>74665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92866</v>
      </c>
      <c r="C16" s="14" t="n">
        <v>69921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103339</v>
      </c>
      <c r="C17" s="16" t="n">
        <v>71972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76211</v>
      </c>
      <c r="C18" s="14" t="n">
        <v>65054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100885</v>
      </c>
      <c r="C19" s="16" t="n">
        <v>53256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77282</v>
      </c>
      <c r="C20" s="14" t="n">
        <v>58696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88201</v>
      </c>
      <c r="C21" s="16" t="n">
        <v>74574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281050</v>
      </c>
    </row>
    <row r="42">
      <c r="A42" t="inlineStr">
        <is>
          <t>Alquiler</t>
        </is>
      </c>
      <c r="B42" t="n">
        <v>160600</v>
      </c>
    </row>
    <row r="43">
      <c r="A43" t="inlineStr">
        <is>
          <t>Insumos</t>
        </is>
      </c>
      <c r="B43" t="n">
        <v>144540</v>
      </c>
    </row>
    <row r="44">
      <c r="A44" t="inlineStr">
        <is>
          <t>Servicios</t>
        </is>
      </c>
      <c r="B44" t="n">
        <v>96360</v>
      </c>
    </row>
    <row r="45">
      <c r="A45" t="inlineStr">
        <is>
          <t>Marketing</t>
        </is>
      </c>
      <c r="B45" t="n">
        <v>64240</v>
      </c>
    </row>
    <row r="46">
      <c r="A46" t="inlineStr">
        <is>
          <t>Otros</t>
        </is>
      </c>
      <c r="B46" t="n">
        <v>56210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