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Tributario SUNA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9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B894"/>
        <bgColor rgb="0000B894"/>
      </patternFill>
    </fill>
    <fill>
      <patternFill patternType="solid">
        <fgColor rgb="00E17055"/>
        <bgColor rgb="00E17055"/>
      </patternFill>
    </fill>
    <fill>
      <patternFill patternType="solid">
        <fgColor rgb="000984E3"/>
        <bgColor rgb="000984E3"/>
      </patternFill>
    </fill>
    <fill>
      <patternFill patternType="solid">
        <fgColor rgb="006C5CE7"/>
        <bgColor rgb="006C5CE7"/>
      </patternFill>
    </fill>
    <fill>
      <patternFill patternType="solid">
        <fgColor rgb="005352ED"/>
        <bgColor rgb="005352ED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7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3" fontId="7" fillId="8" borderId="1" applyAlignment="1" pivotButton="0" quotePrefix="0" xfId="0">
      <alignment horizontal="center" vertical="center" wrapText="1"/>
    </xf>
    <xf numFmtId="164" fontId="7" fillId="8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  <xf numFmtId="3" fontId="0" fillId="0" borderId="0" pivotButton="0" quotePrefix="0" xfId="0"/>
    <xf numFmtId="164" fontId="0" fillId="0" borderId="0" pivotButton="0" quotePrefix="0" xfId="0"/>
    <xf numFmtId="0" fontId="2" fillId="4" borderId="0" applyAlignment="1" pivotButton="0" quotePrefix="0" xfId="0">
      <alignment horizontal="center" vertical="center"/>
    </xf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Ingresos vs Gastos Mensuales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'Dashboard'!$A$10:$A$21</f>
            </numRef>
          </cat>
          <val>
            <numRef>
              <f>'Dashboard'!$B$10:$B$21</f>
            </numRef>
          </val>
        </ser>
        <ser>
          <idx val="1"/>
          <order val="1"/>
          <tx>
            <strRef>
              <f>'Dashboard'!C9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'Dashboard'!$A$10:$A$21</f>
            </numRef>
          </cat>
          <val>
            <numRef>
              <f>'Dashboard'!$C$10:$C$21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Utilidad Acumulada</a:t>
            </a:r>
          </a:p>
        </rich>
      </tx>
    </title>
    <plotArea>
      <lineChart>
        <grouping val="standard"/>
        <ser>
          <idx val="0"/>
          <order val="0"/>
          <tx>
            <strRef>
              <f>'Dashboard'!H9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'Dashboard'!$A$10:$A$21</f>
            </numRef>
          </cat>
          <val>
            <numRef>
              <f>'Dashboard'!$H$10:$H$21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Distribucion de Gastos</a:t>
            </a:r>
          </a:p>
        </rich>
      </tx>
    </title>
    <plotArea>
      <pieChart>
        <varyColors val="1"/>
        <ser>
          <idx val="0"/>
          <order val="0"/>
          <tx>
            <strRef>
              <f>'Dashboard'!B40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'Dashboard'!$A$41:$A$46</f>
            </numRef>
          </cat>
          <val>
            <numRef>
              <f>'Dashboard'!$B$41:$B$46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Margen por Mes</a:t>
            </a:r>
          </a:p>
        </rich>
      </tx>
    </title>
    <plotArea>
      <doughnutChart>
        <varyColors val="1"/>
        <ser>
          <idx val="0"/>
          <order val="0"/>
          <tx>
            <strRef>
              <f>'Dashboard'!F40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'Dashboard'!$E$41:$E$52</f>
            </numRef>
          </cat>
          <val>
            <numRef>
              <f>'Dashboard'!$F$41:$F$52</f>
            </numRef>
          </val>
        </ser>
        <dLbls>
          <showPercent val="1"/>
        </dLbls>
        <firstSliceAng val="0"/>
        <holeSize val="10"/>
      </doughnutChart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Composicion Tributaria</a:t>
            </a:r>
          </a:p>
        </rich>
      </tx>
    </title>
    <plotArea>
      <pieChart>
        <varyColors val="1"/>
        <ser>
          <idx val="0"/>
          <order val="0"/>
          <tx>
            <strRef>
              <f>'Tributario SUNAT'!B14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'Tributario SUNAT'!$A$15:$A$19</f>
            </numRef>
          </cat>
          <val>
            <numRef>
              <f>'Tributario SUNAT'!$B$15:$B$19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5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720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6480000" cy="396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39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3</col>
      <colOff>0</colOff>
      <row>53</row>
      <rowOff>0</rowOff>
    </from>
    <ext cx="5040000" cy="360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13</row>
      <rowOff>0</rowOff>
    </from>
    <ext cx="504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tabColor rgb="0000B894"/>
    <outlinePr summaryBelow="1" summaryRight="1"/>
    <pageSetUpPr/>
  </sheetPr>
  <dimension ref="A1:H5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DASHBOARD FINANCIERO — DENTISTA</t>
        </is>
      </c>
    </row>
    <row r="2" ht="28" customHeight="1">
      <c r="A2" s="2" t="inlineStr">
        <is>
          <t>Control total de tu negocio | Peru 2025</t>
        </is>
      </c>
    </row>
    <row r="4">
      <c r="A4" s="3" t="inlineStr">
        <is>
          <t>INGRESOS S/</t>
        </is>
      </c>
      <c r="C4" s="4" t="inlineStr">
        <is>
          <t>GASTOS S/</t>
        </is>
      </c>
      <c r="E4" s="5" t="inlineStr">
        <is>
          <t>UTILIDAD S/</t>
        </is>
      </c>
      <c r="G4" s="6" t="inlineStr">
        <is>
          <t>MARGEN</t>
        </is>
      </c>
    </row>
    <row r="5" ht="32" customHeight="1">
      <c r="A5" s="7" t="n">
        <v>912500</v>
      </c>
      <c r="C5" s="8" t="n">
        <v>547500</v>
      </c>
      <c r="E5" s="9" t="n">
        <v>365000</v>
      </c>
      <c r="G5" s="10" t="inlineStr">
        <is>
          <t>40.0%</t>
        </is>
      </c>
    </row>
    <row r="8" ht="30" customHeight="1">
      <c r="A8" s="11" t="inlineStr">
        <is>
          <t xml:space="preserve">  EVOLUCION MENSUAL</t>
        </is>
      </c>
    </row>
    <row r="9">
      <c r="A9" s="12" t="inlineStr">
        <is>
          <t>MES</t>
        </is>
      </c>
      <c r="B9" s="12" t="inlineStr">
        <is>
          <t>INGRESOS</t>
        </is>
      </c>
      <c r="C9" s="12" t="inlineStr">
        <is>
          <t>GASTOS</t>
        </is>
      </c>
      <c r="D9" s="12" t="inlineStr">
        <is>
          <t>UTILIDAD</t>
        </is>
      </c>
      <c r="E9" s="12" t="inlineStr">
        <is>
          <t>MARGEN %</t>
        </is>
      </c>
      <c r="F9" s="12" t="inlineStr">
        <is>
          <t>IGV 18%</t>
        </is>
      </c>
      <c r="G9" s="12" t="inlineStr">
        <is>
          <t>RENTA 1.5%</t>
        </is>
      </c>
      <c r="H9" s="12" t="inlineStr">
        <is>
          <t>ACUMULADO</t>
        </is>
      </c>
    </row>
    <row r="10">
      <c r="A10" s="13" t="inlineStr">
        <is>
          <t>Enero</t>
        </is>
      </c>
      <c r="B10" s="14" t="n">
        <v>61240</v>
      </c>
      <c r="C10" s="14" t="n">
        <v>44065</v>
      </c>
      <c r="D10" s="14">
        <f>B10-C10</f>
        <v/>
      </c>
      <c r="E10" s="15">
        <f>IF(B10&gt;0,D10/B10,0)</f>
        <v/>
      </c>
      <c r="F10" s="14">
        <f>B10*0.18</f>
        <v/>
      </c>
      <c r="G10" s="14">
        <f>B10*0.015</f>
        <v/>
      </c>
      <c r="H10" s="14">
        <f>D10</f>
        <v/>
      </c>
    </row>
    <row r="11">
      <c r="A11" s="16" t="inlineStr">
        <is>
          <t>Febrero</t>
        </is>
      </c>
      <c r="B11" s="17" t="n">
        <v>74491</v>
      </c>
      <c r="C11" s="17" t="n">
        <v>45441</v>
      </c>
      <c r="D11" s="17">
        <f>B11-C11</f>
        <v/>
      </c>
      <c r="E11" s="18">
        <f>IF(B11&gt;0,D11/B11,0)</f>
        <v/>
      </c>
      <c r="F11" s="17">
        <f>B11*0.18</f>
        <v/>
      </c>
      <c r="G11" s="17">
        <f>B11*0.015</f>
        <v/>
      </c>
      <c r="H11" s="17">
        <f>H10+D11</f>
        <v/>
      </c>
    </row>
    <row r="12">
      <c r="A12" s="13" t="inlineStr">
        <is>
          <t>Marzo</t>
        </is>
      </c>
      <c r="B12" s="14" t="n">
        <v>78448</v>
      </c>
      <c r="C12" s="14" t="n">
        <v>46500</v>
      </c>
      <c r="D12" s="14">
        <f>B12-C12</f>
        <v/>
      </c>
      <c r="E12" s="15">
        <f>IF(B12&gt;0,D12/B12,0)</f>
        <v/>
      </c>
      <c r="F12" s="14">
        <f>B12*0.18</f>
        <v/>
      </c>
      <c r="G12" s="14">
        <f>B12*0.015</f>
        <v/>
      </c>
      <c r="H12" s="14">
        <f>H11+D12</f>
        <v/>
      </c>
    </row>
    <row r="13">
      <c r="A13" s="16" t="inlineStr">
        <is>
          <t>Abril</t>
        </is>
      </c>
      <c r="B13" s="17" t="n">
        <v>68637</v>
      </c>
      <c r="C13" s="17" t="n">
        <v>38023</v>
      </c>
      <c r="D13" s="17">
        <f>B13-C13</f>
        <v/>
      </c>
      <c r="E13" s="18">
        <f>IF(B13&gt;0,D13/B13,0)</f>
        <v/>
      </c>
      <c r="F13" s="17">
        <f>B13*0.18</f>
        <v/>
      </c>
      <c r="G13" s="17">
        <f>B13*0.015</f>
        <v/>
      </c>
      <c r="H13" s="17">
        <f>H12+D13</f>
        <v/>
      </c>
    </row>
    <row r="14">
      <c r="A14" s="13" t="inlineStr">
        <is>
          <t>Mayo</t>
        </is>
      </c>
      <c r="B14" s="14" t="n">
        <v>81401</v>
      </c>
      <c r="C14" s="14" t="n">
        <v>42378</v>
      </c>
      <c r="D14" s="14">
        <f>B14-C14</f>
        <v/>
      </c>
      <c r="E14" s="15">
        <f>IF(B14&gt;0,D14/B14,0)</f>
        <v/>
      </c>
      <c r="F14" s="14">
        <f>B14*0.18</f>
        <v/>
      </c>
      <c r="G14" s="14">
        <f>B14*0.015</f>
        <v/>
      </c>
      <c r="H14" s="14">
        <f>H13+D14</f>
        <v/>
      </c>
    </row>
    <row r="15">
      <c r="A15" s="16" t="inlineStr">
        <is>
          <t>Junio</t>
        </is>
      </c>
      <c r="B15" s="17" t="n">
        <v>81793</v>
      </c>
      <c r="C15" s="17" t="n">
        <v>47836</v>
      </c>
      <c r="D15" s="17">
        <f>B15-C15</f>
        <v/>
      </c>
      <c r="E15" s="18">
        <f>IF(B15&gt;0,D15/B15,0)</f>
        <v/>
      </c>
      <c r="F15" s="17">
        <f>B15*0.18</f>
        <v/>
      </c>
      <c r="G15" s="17">
        <f>B15*0.015</f>
        <v/>
      </c>
      <c r="H15" s="17">
        <f>H14+D15</f>
        <v/>
      </c>
    </row>
    <row r="16">
      <c r="A16" s="13" t="inlineStr">
        <is>
          <t>Julio</t>
        </is>
      </c>
      <c r="B16" s="14" t="n">
        <v>60954</v>
      </c>
      <c r="C16" s="14" t="n">
        <v>43616</v>
      </c>
      <c r="D16" s="14">
        <f>B16-C16</f>
        <v/>
      </c>
      <c r="E16" s="15">
        <f>IF(B16&gt;0,D16/B16,0)</f>
        <v/>
      </c>
      <c r="F16" s="14">
        <f>B16*0.18</f>
        <v/>
      </c>
      <c r="G16" s="14">
        <f>B16*0.015</f>
        <v/>
      </c>
      <c r="H16" s="14">
        <f>H15+D16</f>
        <v/>
      </c>
    </row>
    <row r="17">
      <c r="A17" s="16" t="inlineStr">
        <is>
          <t>Agosto</t>
        </is>
      </c>
      <c r="B17" s="17" t="n">
        <v>80635</v>
      </c>
      <c r="C17" s="17" t="n">
        <v>50178</v>
      </c>
      <c r="D17" s="17">
        <f>B17-C17</f>
        <v/>
      </c>
      <c r="E17" s="18">
        <f>IF(B17&gt;0,D17/B17,0)</f>
        <v/>
      </c>
      <c r="F17" s="17">
        <f>B17*0.18</f>
        <v/>
      </c>
      <c r="G17" s="17">
        <f>B17*0.015</f>
        <v/>
      </c>
      <c r="H17" s="17">
        <f>H16+D17</f>
        <v/>
      </c>
    </row>
    <row r="18">
      <c r="A18" s="13" t="inlineStr">
        <is>
          <t>Septiembre</t>
        </is>
      </c>
      <c r="B18" s="14" t="n">
        <v>85620</v>
      </c>
      <c r="C18" s="14" t="n">
        <v>50327</v>
      </c>
      <c r="D18" s="14">
        <f>B18-C18</f>
        <v/>
      </c>
      <c r="E18" s="15">
        <f>IF(B18&gt;0,D18/B18,0)</f>
        <v/>
      </c>
      <c r="F18" s="14">
        <f>B18*0.18</f>
        <v/>
      </c>
      <c r="G18" s="14">
        <f>B18*0.015</f>
        <v/>
      </c>
      <c r="H18" s="14">
        <f>H17+D18</f>
        <v/>
      </c>
    </row>
    <row r="19">
      <c r="A19" s="16" t="inlineStr">
        <is>
          <t>Octubre</t>
        </is>
      </c>
      <c r="B19" s="17" t="n">
        <v>69761</v>
      </c>
      <c r="C19" s="17" t="n">
        <v>52275</v>
      </c>
      <c r="D19" s="17">
        <f>B19-C19</f>
        <v/>
      </c>
      <c r="E19" s="18">
        <f>IF(B19&gt;0,D19/B19,0)</f>
        <v/>
      </c>
      <c r="F19" s="17">
        <f>B19*0.18</f>
        <v/>
      </c>
      <c r="G19" s="17">
        <f>B19*0.015</f>
        <v/>
      </c>
      <c r="H19" s="17">
        <f>H18+D19</f>
        <v/>
      </c>
    </row>
    <row r="20">
      <c r="A20" s="13" t="inlineStr">
        <is>
          <t>Noviembre</t>
        </is>
      </c>
      <c r="B20" s="14" t="n">
        <v>84440</v>
      </c>
      <c r="C20" s="14" t="n">
        <v>37352</v>
      </c>
      <c r="D20" s="14">
        <f>B20-C20</f>
        <v/>
      </c>
      <c r="E20" s="15">
        <f>IF(B20&gt;0,D20/B20,0)</f>
        <v/>
      </c>
      <c r="F20" s="14">
        <f>B20*0.18</f>
        <v/>
      </c>
      <c r="G20" s="14">
        <f>B20*0.015</f>
        <v/>
      </c>
      <c r="H20" s="14">
        <f>H19+D20</f>
        <v/>
      </c>
    </row>
    <row r="21">
      <c r="A21" s="16" t="inlineStr">
        <is>
          <t>Diciembre</t>
        </is>
      </c>
      <c r="B21" s="17" t="n">
        <v>89167</v>
      </c>
      <c r="C21" s="17" t="n">
        <v>48716</v>
      </c>
      <c r="D21" s="17">
        <f>B21-C21</f>
        <v/>
      </c>
      <c r="E21" s="18">
        <f>IF(B21&gt;0,D21/B21,0)</f>
        <v/>
      </c>
      <c r="F21" s="17">
        <f>B21*0.18</f>
        <v/>
      </c>
      <c r="G21" s="17">
        <f>B21*0.015</f>
        <v/>
      </c>
      <c r="H21" s="17">
        <f>H20+D21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F22" s="20">
        <f>SUM(F10:F21)</f>
        <v/>
      </c>
      <c r="G22" s="20">
        <f>SUM(G10:G21)</f>
        <v/>
      </c>
    </row>
    <row r="40">
      <c r="A40" s="21" t="inlineStr">
        <is>
          <t>CATEGORIA</t>
        </is>
      </c>
      <c r="B40" s="21" t="inlineStr">
        <is>
          <t>MONTO</t>
        </is>
      </c>
      <c r="E40" s="21" t="inlineStr">
        <is>
          <t>MES</t>
        </is>
      </c>
      <c r="F40" s="21" t="inlineStr">
        <is>
          <t>MARGEN</t>
        </is>
      </c>
    </row>
    <row r="41">
      <c r="A41" t="inlineStr">
        <is>
          <t>Personal</t>
        </is>
      </c>
      <c r="B41" s="22" t="n">
        <v>191625</v>
      </c>
      <c r="E41" t="inlineStr">
        <is>
          <t>Ene</t>
        </is>
      </c>
      <c r="F41" s="23" t="n">
        <v>0.33</v>
      </c>
    </row>
    <row r="42">
      <c r="A42" t="inlineStr">
        <is>
          <t>Alquiler</t>
        </is>
      </c>
      <c r="B42" s="22" t="n">
        <v>109500</v>
      </c>
      <c r="E42" t="inlineStr">
        <is>
          <t>Feb</t>
        </is>
      </c>
      <c r="F42" s="23" t="n">
        <v>0.3</v>
      </c>
    </row>
    <row r="43">
      <c r="A43" t="inlineStr">
        <is>
          <t>Insumos</t>
        </is>
      </c>
      <c r="B43" s="22" t="n">
        <v>98550</v>
      </c>
      <c r="E43" t="inlineStr">
        <is>
          <t>Mar</t>
        </is>
      </c>
      <c r="F43" s="23" t="n">
        <v>0.37</v>
      </c>
    </row>
    <row r="44">
      <c r="A44" t="inlineStr">
        <is>
          <t>Servicios</t>
        </is>
      </c>
      <c r="B44" s="22" t="n">
        <v>65700</v>
      </c>
      <c r="E44" t="inlineStr">
        <is>
          <t>Abr</t>
        </is>
      </c>
      <c r="F44" s="23" t="n">
        <v>0.38</v>
      </c>
    </row>
    <row r="45">
      <c r="A45" t="inlineStr">
        <is>
          <t>Marketing</t>
        </is>
      </c>
      <c r="B45" s="22" t="n">
        <v>43800</v>
      </c>
      <c r="E45" t="inlineStr">
        <is>
          <t>May</t>
        </is>
      </c>
      <c r="F45" s="23" t="n">
        <v>0.19</v>
      </c>
    </row>
    <row r="46">
      <c r="A46" t="inlineStr">
        <is>
          <t>Otros</t>
        </is>
      </c>
      <c r="B46" s="22" t="n">
        <v>38325</v>
      </c>
      <c r="E46" t="inlineStr">
        <is>
          <t>Jun</t>
        </is>
      </c>
      <c r="F46" s="23" t="n">
        <v>0.38</v>
      </c>
    </row>
    <row r="47">
      <c r="E47" t="inlineStr">
        <is>
          <t>Jul</t>
        </is>
      </c>
      <c r="F47" s="23" t="n">
        <v>0.25</v>
      </c>
    </row>
    <row r="48">
      <c r="E48" t="inlineStr">
        <is>
          <t>Ago</t>
        </is>
      </c>
      <c r="F48" s="23" t="n">
        <v>0.38</v>
      </c>
    </row>
    <row r="49">
      <c r="E49" t="inlineStr">
        <is>
          <t>Sep</t>
        </is>
      </c>
      <c r="F49" s="23" t="n">
        <v>0.25</v>
      </c>
    </row>
    <row r="50">
      <c r="E50" t="inlineStr">
        <is>
          <t>Oct</t>
        </is>
      </c>
      <c r="F50" s="23" t="n">
        <v>0.28</v>
      </c>
    </row>
    <row r="51">
      <c r="E51" t="inlineStr">
        <is>
          <t>Nov</t>
        </is>
      </c>
      <c r="F51" s="23" t="n">
        <v>0.27</v>
      </c>
    </row>
    <row r="52">
      <c r="E52" t="inlineStr">
        <is>
          <t>Dic</t>
        </is>
      </c>
      <c r="F52" s="23" t="n">
        <v>0.16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E10:E21">
    <cfRule type="cellIs" priority="1" operator="greaterThan" dxfId="0">
      <formula>0.3</formula>
    </cfRule>
    <cfRule type="cellIs" priority="2" operator="lessThan" dxfId="1">
      <formula>0.15</formula>
    </cfRule>
  </conditionalFormatting>
  <conditionalFormatting sqref="D10:D21">
    <cfRule type="dataBar" priority="3">
      <dataBar>
        <cfvo type="min"/>
        <cfvo type="max"/>
        <color rgb="000984E3"/>
      </dataBar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E17055"/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8" customWidth="1" min="4" max="4"/>
  </cols>
  <sheetData>
    <row r="1" ht="45" customHeight="1">
      <c r="A1" s="1" t="inlineStr">
        <is>
          <t>RESUMEN TRIBUTARIO — DENTISTA</t>
        </is>
      </c>
    </row>
    <row r="2" ht="28" customHeight="1">
      <c r="A2" s="24" t="inlineStr">
        <is>
          <t>Calculos automaticos SUNAT | IGV, Renta, EsSalud, ONP</t>
        </is>
      </c>
    </row>
    <row r="4">
      <c r="A4" s="12" t="inlineStr">
        <is>
          <t>CONCEPTO</t>
        </is>
      </c>
      <c r="B4" s="12" t="inlineStr">
        <is>
          <t>BASE IMPONIBLE</t>
        </is>
      </c>
      <c r="C4" s="12" t="inlineStr">
        <is>
          <t>MONTO S/</t>
        </is>
      </c>
      <c r="D4" s="12" t="inlineStr">
        <is>
          <t>PORCENTAJE</t>
        </is>
      </c>
    </row>
    <row r="5">
      <c r="A5" s="16" t="inlineStr">
        <is>
          <t>Ventas Netas Anuales</t>
        </is>
      </c>
      <c r="B5" s="17" t="n">
        <v>912500</v>
      </c>
      <c r="C5" s="17" t="inlineStr"/>
      <c r="D5" s="16" t="inlineStr">
        <is>
          <t>100%</t>
        </is>
      </c>
    </row>
    <row r="6">
      <c r="A6" s="16" t="inlineStr">
        <is>
          <t>IGV (Impuesto General a las Ventas)</t>
        </is>
      </c>
      <c r="B6" s="17" t="n">
        <v>912500</v>
      </c>
      <c r="C6" s="17">
        <f>B4*0.18</f>
        <v/>
      </c>
      <c r="D6" s="16" t="inlineStr">
        <is>
          <t>18%</t>
        </is>
      </c>
    </row>
    <row r="7">
      <c r="A7" s="16" t="inlineStr">
        <is>
          <t>Renta Mensual (1.5%)</t>
        </is>
      </c>
      <c r="B7" s="17" t="n">
        <v>912500</v>
      </c>
      <c r="C7" s="17">
        <f>B4*0.015</f>
        <v/>
      </c>
      <c r="D7" s="16" t="inlineStr">
        <is>
          <t>1.5%</t>
        </is>
      </c>
    </row>
    <row r="8">
      <c r="A8" s="16" t="inlineStr">
        <is>
          <t>EsSalud (aporte empleador)</t>
        </is>
      </c>
      <c r="B8" s="17" t="n">
        <v>273750</v>
      </c>
      <c r="C8" s="17">
        <f>B6*0.09</f>
        <v/>
      </c>
      <c r="D8" s="16" t="inlineStr">
        <is>
          <t>9%</t>
        </is>
      </c>
    </row>
    <row r="9">
      <c r="A9" s="16" t="inlineStr">
        <is>
          <t>ONP (aporte trabajador)</t>
        </is>
      </c>
      <c r="B9" s="17" t="n">
        <v>273750</v>
      </c>
      <c r="C9" s="17">
        <f>B7*0.13</f>
        <v/>
      </c>
      <c r="D9" s="16" t="inlineStr">
        <is>
          <t>13%</t>
        </is>
      </c>
    </row>
    <row r="10">
      <c r="A10" s="16" t="inlineStr">
        <is>
          <t>Total Obligaciones Tributarias</t>
        </is>
      </c>
      <c r="B10" s="17" t="inlineStr"/>
      <c r="C10" s="17">
        <f>SUM(C4:C7)</f>
        <v/>
      </c>
      <c r="D10" s="16" t="inlineStr"/>
    </row>
    <row r="14">
      <c r="A14" s="21" t="inlineStr">
        <is>
          <t>CONCEPTO</t>
        </is>
      </c>
      <c r="B14" s="21" t="inlineStr">
        <is>
          <t>MONTO</t>
        </is>
      </c>
    </row>
    <row r="15">
      <c r="A15" t="inlineStr">
        <is>
          <t>Ventas Netas Anuales</t>
        </is>
      </c>
      <c r="B15" s="22">
        <f>C4</f>
        <v/>
      </c>
    </row>
    <row r="16">
      <c r="A16" t="inlineStr">
        <is>
          <t>IGV</t>
        </is>
      </c>
      <c r="B16" s="22">
        <f>C5</f>
        <v/>
      </c>
    </row>
    <row r="17">
      <c r="A17" t="inlineStr">
        <is>
          <t>Renta Mensual</t>
        </is>
      </c>
      <c r="B17" s="22">
        <f>C6</f>
        <v/>
      </c>
    </row>
    <row r="18">
      <c r="A18" t="inlineStr">
        <is>
          <t>EsSalud</t>
        </is>
      </c>
      <c r="B18" s="22">
        <f>C7</f>
        <v/>
      </c>
    </row>
    <row r="19">
      <c r="A19" t="inlineStr">
        <is>
          <t>ONP</t>
        </is>
      </c>
      <c r="B19" s="22">
        <f>C8</f>
        <v/>
      </c>
    </row>
  </sheetData>
  <mergeCells count="2">
    <mergeCell ref="A1:D1"/>
    <mergeCell ref="A2:D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2026-09-01T00:21:15Z</dcterms:created>
  <dcterms:modified xsi:type="dcterms:W3CDTF">2026-09-01T00:21:15Z</dcterms:modified>
</cp:coreProperties>
</file>