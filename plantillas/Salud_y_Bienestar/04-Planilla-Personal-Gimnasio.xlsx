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'Planilla'!$A$40:$A$41</f>
            </numRef>
          </cat>
          <val>
            <numRef>
              <f>'Planilla'!$B$40:$B$41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'Planilla'!$E$10:$E$22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'Planilla'!$F$10:$F$22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'Planilla'!$G$10:$G$22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'Planilla'!$H$10:$H$22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'Planilla'!$I$10:$I$22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'Planilla'!$J$10:$J$22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38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GIMNASIO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13</v>
      </c>
      <c r="C5" s="8" t="n">
        <v>650</v>
      </c>
      <c r="E5" s="9" t="n">
        <v>58</v>
      </c>
      <c r="G5" s="10" t="n">
        <v>708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60785689</t>
        </is>
      </c>
      <c r="C10" s="13" t="inlineStr">
        <is>
          <t>Gerente</t>
        </is>
      </c>
      <c r="D10" s="14" t="n">
        <v>-97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40423986</t>
        </is>
      </c>
      <c r="C11" s="15" t="inlineStr">
        <is>
          <t>Vendedor</t>
        </is>
      </c>
      <c r="D11" s="16" t="n">
        <v>-4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54287172</t>
        </is>
      </c>
      <c r="C12" s="13" t="inlineStr">
        <is>
          <t>Cajero</t>
        </is>
      </c>
      <c r="D12" s="14" t="n">
        <v>0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80640850</t>
        </is>
      </c>
      <c r="C13" s="15" t="inlineStr">
        <is>
          <t>Almacenero</t>
        </is>
      </c>
      <c r="D13" s="16" t="n">
        <v>320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62723936</t>
        </is>
      </c>
      <c r="C14" s="13" t="inlineStr">
        <is>
          <t>Contador</t>
        </is>
      </c>
      <c r="D14" s="14" t="n">
        <v>124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90008926</t>
        </is>
      </c>
      <c r="C15" s="15" t="inlineStr">
        <is>
          <t>Motorizado</t>
        </is>
      </c>
      <c r="D15" s="16" t="n">
        <v>421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37398061</t>
        </is>
      </c>
      <c r="C16" s="13" t="inlineStr">
        <is>
          <t>Seguridad</t>
        </is>
      </c>
      <c r="D16" s="14" t="n">
        <v>6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11689274</t>
        </is>
      </c>
      <c r="C17" s="15" t="inlineStr">
        <is>
          <t>Limpieza</t>
        </is>
      </c>
      <c r="D17" s="16" t="n">
        <v>208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32512351</t>
        </is>
      </c>
      <c r="C18" s="13" t="inlineStr">
        <is>
          <t>Auxiliar</t>
        </is>
      </c>
      <c r="D18" s="14" t="n">
        <v>193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88447971</t>
        </is>
      </c>
      <c r="C19" s="15" t="inlineStr">
        <is>
          <t>Supervisor</t>
        </is>
      </c>
      <c r="D19" s="16" t="n">
        <v>164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76223253</t>
        </is>
      </c>
      <c r="C20" s="13" t="inlineStr">
        <is>
          <t>Analista</t>
        </is>
      </c>
      <c r="D20" s="14" t="n">
        <v>198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10314884</t>
        </is>
      </c>
      <c r="C21" s="15" t="inlineStr">
        <is>
          <t>Tecnico</t>
        </is>
      </c>
      <c r="D21" s="16" t="n">
        <v>362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100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11263038</t>
        </is>
      </c>
      <c r="C22" s="13" t="inlineStr">
        <is>
          <t>Operario</t>
        </is>
      </c>
      <c r="D22" s="14" t="n">
        <v>354</v>
      </c>
      <c r="E22" s="14">
        <f>D22*0.10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100</v>
      </c>
      <c r="L22" s="14">
        <f>D22+F22+H22+I22+J22+K22</f>
        <v/>
      </c>
      <c r="M22" s="14">
        <f>E22</f>
        <v/>
      </c>
    </row>
    <row r="23">
      <c r="A23" s="17" t="inlineStr">
        <is>
          <t>TOTALES</t>
        </is>
      </c>
      <c r="D23" s="18">
        <f>SUM(D10:D22)</f>
        <v/>
      </c>
      <c r="E23" s="18">
        <f>SUM(E10:E22)</f>
        <v/>
      </c>
      <c r="F23" s="18">
        <f>SUM(F10:F22)</f>
        <v/>
      </c>
      <c r="G23" s="18">
        <f>SUM(G10:G22)</f>
        <v/>
      </c>
      <c r="H23" s="18">
        <f>SUM(H10:H22)</f>
        <v/>
      </c>
      <c r="I23" s="18">
        <f>SUM(I10:I22)</f>
        <v/>
      </c>
      <c r="J23" s="18">
        <f>SUM(J10:J22)</f>
        <v/>
      </c>
      <c r="K23" s="18">
        <f>SUM(K10:K22)</f>
        <v/>
      </c>
      <c r="L23" s="18">
        <f>SUM(L10:L22)</f>
        <v/>
      </c>
      <c r="M23" s="18">
        <f>SUM(M10:M22)</f>
        <v/>
      </c>
    </row>
    <row r="39">
      <c r="A39" s="19" t="inlineStr">
        <is>
          <t>REGIMEN</t>
        </is>
      </c>
      <c r="B39" s="19" t="inlineStr">
        <is>
          <t>CANTIDAD</t>
        </is>
      </c>
    </row>
    <row r="40">
      <c r="A40" t="inlineStr">
        <is>
          <t>AFP</t>
        </is>
      </c>
      <c r="B40" t="n">
        <v>8</v>
      </c>
    </row>
    <row r="41">
      <c r="A41" t="inlineStr">
        <is>
          <t>ONP</t>
        </is>
      </c>
      <c r="B41" t="n">
        <v>5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Gimnasio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50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