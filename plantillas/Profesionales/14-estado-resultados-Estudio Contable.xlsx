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<sst xmlns="http://schemas.openxmlformats.org/spreadsheetml/2006/main" count="31" uniqueCount="30">
  <si>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ESTUDIO CONTABLE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</si>
  <si>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</si>
  <si>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</si>
  <si>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</si>
  <si>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</si>
  <si>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</si>
  <si>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</si>
  <si>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</si>
  <si>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</si>
  <si>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</si>
  <si>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</si>
  <si>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</si>
  <si>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</si>
  <si>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</si>
  <si>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</si>
  <si>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</si>
  <si>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</si>
  <si>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</si>
  <si>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</si>
  <si>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</si>
  <si>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</si>
  <si>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</si>
  <si>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</si>
  <si>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</si>
  <si>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</si>
  <si>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</si>
  <si>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</si>
  <si>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</si>
  <si>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</si>
  <si>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Estudio Contable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</si>
</sst>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45050</v>
      </c>
      <c r="C6" s="6">
        <v>315350</v>
      </c>
      <c r="D6" s="6">
        <v>337875</v>
      </c>
      <c r="E6" s="7">
        <f>C6/D6</f>
      </c>
    </row>
    <row r="7" spans="1:5" x14ac:dyDescent="0.25">
      <c r="A7" s="8" t="s">
        <v>9</v>
      </c>
      <c r="B7" s="9">
        <v>4079</v>
      </c>
      <c r="C7" s="9">
        <v>28553</v>
      </c>
      <c r="D7" s="9">
        <v>24474</v>
      </c>
      <c r="E7" s="10">
        <f>C7/D7</f>
      </c>
    </row>
    <row r="8" spans="1:5" x14ac:dyDescent="0.25">
      <c r="A8" s="5" t="s">
        <v>10</v>
      </c>
      <c r="B8" s="6">
        <v>2329</v>
      </c>
      <c r="C8" s="6">
        <v>16303</v>
      </c>
      <c r="D8" s="6">
        <v>15138.5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20484</v>
      </c>
      <c r="C12" s="15">
        <v>143388</v>
      </c>
      <c r="D12" s="15">
        <v>143388</v>
      </c>
      <c r="E12" s="5"/>
    </row>
    <row r="13" spans="1:5" x14ac:dyDescent="0.25">
      <c r="A13" s="8" t="s">
        <v>14</v>
      </c>
      <c r="B13" s="16">
        <v>4531</v>
      </c>
      <c r="C13" s="16">
        <v>31717</v>
      </c>
      <c r="D13" s="16">
        <v>31717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1771.2</v>
      </c>
      <c r="C18" s="6">
        <v>12398.4</v>
      </c>
      <c r="D18" s="6">
        <v>12752.640000000001</v>
      </c>
      <c r="E18" s="5"/>
    </row>
    <row r="19" spans="1:5" x14ac:dyDescent="0.25">
      <c r="A19" s="8" t="s">
        <v>20</v>
      </c>
      <c r="B19" s="9">
        <v>2835.48</v>
      </c>
      <c r="C19" s="9">
        <v>19848.36</v>
      </c>
      <c r="D19" s="9">
        <v>20415.456000000002</v>
      </c>
      <c r="E19" s="8"/>
    </row>
    <row r="20" spans="1:5" x14ac:dyDescent="0.25">
      <c r="A20" s="5" t="s">
        <v>21</v>
      </c>
      <c r="B20" s="6">
        <v>1529.77</v>
      </c>
      <c r="C20" s="6">
        <v>10708.39</v>
      </c>
      <c r="D20" s="6">
        <v>11014.344000000001</v>
      </c>
      <c r="E20" s="5"/>
    </row>
    <row r="21" spans="1:5" x14ac:dyDescent="0.25">
      <c r="A21" s="8" t="s">
        <v>22</v>
      </c>
      <c r="B21" s="9">
        <v>3478.71</v>
      </c>
      <c r="C21" s="9">
        <v>24350.97</v>
      </c>
      <c r="D21" s="9">
        <v>25046.712</v>
      </c>
      <c r="E21" s="8"/>
    </row>
    <row r="22" spans="1:5" x14ac:dyDescent="0.25">
      <c r="A22" s="5" t="s">
        <v>23</v>
      </c>
      <c r="B22" s="6">
        <v>5739.74</v>
      </c>
      <c r="C22" s="6">
        <v>40178.18</v>
      </c>
      <c r="D22" s="6">
        <v>41326.128</v>
      </c>
      <c r="E22" s="5"/>
    </row>
    <row r="23" spans="1:5" x14ac:dyDescent="0.25">
      <c r="A23" s="8" t="s">
        <v>24</v>
      </c>
      <c r="B23" s="9">
        <v>2813.61</v>
      </c>
      <c r="C23" s="9">
        <v>19695.27</v>
      </c>
      <c r="D23" s="9">
        <v>20257.992000000002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1714</v>
      </c>
      <c r="C27" s="15">
        <v>11998</v>
      </c>
      <c r="D27" s="15">
        <v>11998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