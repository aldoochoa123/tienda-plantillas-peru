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PIs" state="visible" r:id="rId4"/>
  </sheets>
  <calcPr calcId="171027"/>
</workbook>
</file>

<file path=xl/sharedStrings.xml><?xml version="1.0" encoding="utf-8"?>
<sst xmlns="http://schemas.openxmlformats.org/spreadsheetml/2006/main" count="39" uniqueCount="35">
  <si>
    <t>ANÁLISIS DE KPIS — CONSULTORA DE NEGOCIOS</t>
  </si>
  <si>
    <t>Mide tu desempeño mes a mes, todo calcula automáticamente</t>
  </si>
  <si>
    <t>KPI</t>
  </si>
  <si>
    <t>Unidad</t>
  </si>
  <si>
    <t>Meta Mensual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</si>
  <si>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</si>
  <si>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</si>
  <si>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</si>
  <si>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</si>
  <si>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</si>
  <si>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</si>
  <si>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</si>
  <si>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</si>
  <si>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</si>
  <si>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</si>
  <si>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</si>
  <si>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</si>
  <si>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Promedio</t>
  </si>
  <si>
    <t>Cumplimiento</t>
  </si>
  <si>
    <t>Ventas mensuales</t>
  </si>
  <si>
    <t>S/</t>
  </si>
  <si>
    <t>N° de clientes atendidos</t>
  </si>
  <si>
    <t>#</t>
  </si>
  <si>
    <t>Ticket promedio</t>
  </si>
  <si>
    <t>Margen bruto</t>
  </si>
  <si>
    <t>%</t>
  </si>
  <si>
    <t>Nuevos clientes</t>
  </si>
  <si>
    <t>Satisfacción del cliente</t>
  </si>
  <si>
    <t>1-5</t>
  </si>
  <si>
    <t>KPIS EN META</t>
  </si>
  <si>
    <t>KPIS FUERA DE META</t>
  </si>
  <si>
    <t>CUMPLIMIENTO PROMEDIO</t>
  </si>
  <si>
    <t/>
  </si>
  <si>
    <t>💡 Las filas verdes indican KPIs que alcanzaron su meta. Ajusta la meta al rubro específico.</t>
  </si>
  <si>
    <t>Consultora de Negocios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</si>
</sst>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0.0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0D9488"/>
      <sz val="16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3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3" fontId="6" fillId="4" borderId="0" xfId="0" applyNumberFormat="1" applyFont="1" applyFill="1" applyAlignment="1">
      <alignment horizontal="center" vertical="center"/>
    </xf>
    <xf numFmtId="3" fontId="7" fillId="4" borderId="0" xfId="0" applyNumberFormat="1" applyFont="1" applyFill="1" applyAlignment="1">
      <alignment horizontal="center" vertical="center"/>
    </xf>
    <xf numFmtId="164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"/>
  <sheetViews>
    <sheetView workbookViewId="0" showGridLines="0"/>
  </sheetViews>
  <sheetFormatPr defaultRowHeight="15" outlineLevelRow="0" outlineLevelCol="0" x14ac:dyDescent="55"/>
  <cols>
    <col min="1" max="1" width="32" customWidth="1"/>
    <col min="2" max="2" width="10" customWidth="1"/>
    <col min="3" max="3" width="14" customWidth="1"/>
    <col min="4" max="14" width="11" customWidth="1"/>
    <col min="15" max="15" width="14" customWidth="1"/>
    <col min="16" max="16" width="12" customWidth="1"/>
  </cols>
  <sheetData>
    <row r="1" ht="32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18" customHeight="1" spans="1:1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ht="22" customHeight="1" spans="1:1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</row>
    <row r="5" spans="1:12" x14ac:dyDescent="0.25">
      <c r="A5" s="4" t="s">
        <v>19</v>
      </c>
      <c r="B5" s="4" t="s">
        <v>20</v>
      </c>
      <c r="C5" s="5">
        <v>10080</v>
      </c>
      <c r="D5" s="5">
        <v>8824</v>
      </c>
      <c r="E5" s="5">
        <v>10423</v>
      </c>
      <c r="F5" s="5">
        <v>10366</v>
      </c>
      <c r="G5" s="5">
        <v>11366</v>
      </c>
      <c r="H5" s="5">
        <v>10448</v>
      </c>
      <c r="I5" s="5">
        <v>7098</v>
      </c>
      <c r="J5" s="5">
        <v>7966</v>
      </c>
      <c r="K5" s="5">
        <f>AVERAGE(D5:J5)</f>
      </c>
      <c r="L5" s="6">
        <f>IF(C5=0,0,M5/C5)</f>
      </c>
    </row>
    <row r="6" spans="1:12" x14ac:dyDescent="0.25">
      <c r="A6" s="7" t="s">
        <v>21</v>
      </c>
      <c r="B6" s="7" t="s">
        <v>22</v>
      </c>
      <c r="C6" s="8">
        <v>191</v>
      </c>
      <c r="D6" s="8">
        <v>145</v>
      </c>
      <c r="E6" s="8">
        <v>172</v>
      </c>
      <c r="F6" s="8">
        <v>140</v>
      </c>
      <c r="G6" s="8">
        <v>206</v>
      </c>
      <c r="H6" s="8">
        <v>144</v>
      </c>
      <c r="I6" s="8">
        <v>185</v>
      </c>
      <c r="J6" s="8">
        <v>161</v>
      </c>
      <c r="K6" s="8">
        <f>AVERAGE(D6:J6)</f>
      </c>
      <c r="L6" s="9">
        <f>IF(C6=0,0,M6/C6)</f>
      </c>
    </row>
    <row r="7" spans="1:12" x14ac:dyDescent="0.25">
      <c r="A7" s="4" t="s">
        <v>23</v>
      </c>
      <c r="B7" s="4" t="s">
        <v>20</v>
      </c>
      <c r="C7" s="5">
        <v>59</v>
      </c>
      <c r="D7" s="5">
        <v>56</v>
      </c>
      <c r="E7" s="5">
        <v>59</v>
      </c>
      <c r="F7" s="5">
        <v>70</v>
      </c>
      <c r="G7" s="5">
        <v>54</v>
      </c>
      <c r="H7" s="5">
        <v>51</v>
      </c>
      <c r="I7" s="5">
        <v>48</v>
      </c>
      <c r="J7" s="5">
        <v>69</v>
      </c>
      <c r="K7" s="5">
        <f>AVERAGE(D7:J7)</f>
      </c>
      <c r="L7" s="6">
        <f>IF(C7=0,0,M7/C7)</f>
      </c>
    </row>
    <row r="8" spans="1:12" x14ac:dyDescent="0.25">
      <c r="A8" s="7" t="s">
        <v>24</v>
      </c>
      <c r="B8" s="7" t="s">
        <v>25</v>
      </c>
      <c r="C8" s="9">
        <v>0.3</v>
      </c>
      <c r="D8" s="9">
        <v>0.34</v>
      </c>
      <c r="E8" s="9">
        <v>0.33</v>
      </c>
      <c r="F8" s="9">
        <v>0.26</v>
      </c>
      <c r="G8" s="9">
        <v>0.23</v>
      </c>
      <c r="H8" s="9">
        <v>0.34</v>
      </c>
      <c r="I8" s="9">
        <v>0.27</v>
      </c>
      <c r="J8" s="9">
        <v>0.27</v>
      </c>
      <c r="K8" s="9">
        <f>AVERAGE(D8:J8)</f>
      </c>
      <c r="L8" s="9">
        <f>IF(C8=0,0,M8/C8)</f>
      </c>
    </row>
    <row r="9" spans="1:12" x14ac:dyDescent="0.25">
      <c r="A9" s="4" t="s">
        <v>26</v>
      </c>
      <c r="B9" s="4" t="s">
        <v>22</v>
      </c>
      <c r="C9" s="5">
        <v>21</v>
      </c>
      <c r="D9" s="5">
        <v>24</v>
      </c>
      <c r="E9" s="5">
        <v>19</v>
      </c>
      <c r="F9" s="5">
        <v>19</v>
      </c>
      <c r="G9" s="5">
        <v>17</v>
      </c>
      <c r="H9" s="5">
        <v>24</v>
      </c>
      <c r="I9" s="5">
        <v>16</v>
      </c>
      <c r="J9" s="5">
        <v>19</v>
      </c>
      <c r="K9" s="5">
        <f>AVERAGE(D9:J9)</f>
      </c>
      <c r="L9" s="6">
        <f>IF(C9=0,0,M9/C9)</f>
      </c>
    </row>
    <row r="10" spans="1:12" x14ac:dyDescent="0.25">
      <c r="A10" s="7" t="s">
        <v>27</v>
      </c>
      <c r="B10" s="7" t="s">
        <v>28</v>
      </c>
      <c r="C10" s="10">
        <v>4.5</v>
      </c>
      <c r="D10" s="10">
        <v>3.2</v>
      </c>
      <c r="E10" s="10">
        <v>3.5</v>
      </c>
      <c r="F10" s="10">
        <v>4.3</v>
      </c>
      <c r="G10" s="10">
        <v>3.2</v>
      </c>
      <c r="H10" s="10">
        <v>4.1</v>
      </c>
      <c r="I10" s="10">
        <v>5</v>
      </c>
      <c r="J10" s="10">
        <v>5</v>
      </c>
      <c r="K10" s="10">
        <f>AVERAGE(D10:J10)</f>
      </c>
      <c r="L10" s="9">
        <f>IF(C10=0,0,M10/C10)</f>
      </c>
    </row>
    <row r="12" spans="1:9" x14ac:dyDescent="0.25">
      <c r="A12" s="11" t="s">
        <v>29</v>
      </c>
      <c r="B12" s="11"/>
      <c r="C12" s="11"/>
      <c r="D12" s="12" t="s">
        <v>30</v>
      </c>
      <c r="E12" s="12"/>
      <c r="F12" s="12"/>
      <c r="G12" s="13" t="s">
        <v>31</v>
      </c>
      <c r="H12" s="13"/>
      <c r="I12" s="13"/>
    </row>
    <row r="13" ht="24" customHeight="1" spans="1:9" x14ac:dyDescent="0.25">
      <c r="A13" s="14">
        <f>COUNTIF(P5:P10,"&gt;="&amp;1)</f>
      </c>
      <c r="B13" s="14"/>
      <c r="C13" s="14"/>
      <c r="D13" s="15">
        <f>COUNTIF(P5:P10,"&lt;"&amp;1)</f>
      </c>
      <c r="E13" s="15"/>
      <c r="F13" s="15"/>
      <c r="G13" s="16">
        <f>AVERAGE(P5:P10)</f>
      </c>
      <c r="H13" s="16"/>
      <c r="I13" s="16"/>
    </row>
    <row r="14" spans="1:9" x14ac:dyDescent="0.25">
      <c r="A14" s="17" t="s">
        <v>32</v>
      </c>
      <c r="B14" s="17"/>
      <c r="C14" s="17"/>
      <c r="D14" s="17" t="s">
        <v>32</v>
      </c>
      <c r="E14" s="17"/>
      <c r="F14" s="17"/>
      <c r="G14" s="17" t="s">
        <v>32</v>
      </c>
      <c r="H14" s="17"/>
      <c r="I14" s="17"/>
    </row>
    <row r="17" spans="1:1" x14ac:dyDescent="0.25">
      <c r="A17" s="18" t="s">
        <v>33</v>
      </c>
    </row>
    <row r="19" spans="1:16" x14ac:dyDescent="0.25">
      <c r="A19" s="19" t="s">
        <v>34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</row>
  </sheetData>
  <mergeCells count="12">
    <mergeCell ref="A1:K1"/>
    <mergeCell ref="A2:K2"/>
    <mergeCell ref="A12:C12"/>
    <mergeCell ref="D12:F12"/>
    <mergeCell ref="G12:I12"/>
    <mergeCell ref="A13:C13"/>
    <mergeCell ref="D13:F13"/>
    <mergeCell ref="G13:I13"/>
    <mergeCell ref="A14:C14"/>
    <mergeCell ref="D14:F14"/>
    <mergeCell ref="G14:I14"/>
    <mergeCell ref="A19:P19"/>
  </mergeCells>
  <conditionalFormatting sqref="P5:P10">
    <cfRule type="dataBar" priority="1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{6FF7B36F-E323-4FB2-A531-CE686414F1CA}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FF7B36F-E323-4FB2-A531-CE686414F1CA}">
            <x14:dataBar minLength="0" maxLength="100">
              <x14:cfvo type="min"/>
              <x14:cfvo type="max"/>
            </x14:dataBar>
          </x14:cfRule>
          <xm:sqref>P5:P10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2026-08-23T16:46:36Z</dcterms:created>
  <dcterms:modified xsi:type="dcterms:W3CDTF">2026-08-23T16:46:36Z</dcterms:modified>
</cp:coreProperties>
</file>