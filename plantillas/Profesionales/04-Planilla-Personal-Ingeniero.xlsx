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'Planilla'!$D$10:$D$20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'Planilla'!$A$38:$A$39</f>
            </numRef>
          </cat>
          <val>
            <numRef>
              <f>'Planilla'!$B$38:$B$39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'Planilla'!$D$10:$D$20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'Planilla'!$E$10:$E$20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'Planilla'!$F$10:$F$20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'Planilla'!$G$10:$G$20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'Planilla'!$H$10:$H$20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'Planilla'!$I$10:$I$20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'Planilla'!$J$10:$J$20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36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40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INGENIERO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11</v>
      </c>
      <c r="C5" s="8" t="n">
        <v>1375</v>
      </c>
      <c r="E5" s="9" t="n">
        <v>123</v>
      </c>
      <c r="G5" s="10" t="n">
        <v>1498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46038796</t>
        </is>
      </c>
      <c r="C10" s="13" t="inlineStr">
        <is>
          <t>Gerente</t>
        </is>
      </c>
      <c r="D10" s="14" t="n">
        <v>-2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39820680</t>
        </is>
      </c>
      <c r="C11" s="15" t="inlineStr">
        <is>
          <t>Vendedor</t>
        </is>
      </c>
      <c r="D11" s="16" t="n">
        <v>508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200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19506905</t>
        </is>
      </c>
      <c r="C12" s="13" t="inlineStr">
        <is>
          <t>Cajero</t>
        </is>
      </c>
      <c r="D12" s="14" t="n">
        <v>323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89534320</t>
        </is>
      </c>
      <c r="C13" s="15" t="inlineStr">
        <is>
          <t>Almacenero</t>
        </is>
      </c>
      <c r="D13" s="16" t="n">
        <v>94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97101501</t>
        </is>
      </c>
      <c r="C14" s="13" t="inlineStr">
        <is>
          <t>Contador</t>
        </is>
      </c>
      <c r="D14" s="14" t="n">
        <v>30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200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44740153</t>
        </is>
      </c>
      <c r="C15" s="15" t="inlineStr">
        <is>
          <t>Motorizado</t>
        </is>
      </c>
      <c r="D15" s="16" t="n">
        <v>119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150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66548330</t>
        </is>
      </c>
      <c r="C16" s="13" t="inlineStr">
        <is>
          <t>Seguridad</t>
        </is>
      </c>
      <c r="D16" s="14" t="n">
        <v>115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200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89312431</t>
        </is>
      </c>
      <c r="C17" s="15" t="inlineStr">
        <is>
          <t>Limpieza</t>
        </is>
      </c>
      <c r="D17" s="16" t="n">
        <v>394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150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84215095</t>
        </is>
      </c>
      <c r="C18" s="13" t="inlineStr">
        <is>
          <t>Auxiliar</t>
        </is>
      </c>
      <c r="D18" s="14" t="n">
        <v>220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85346597</t>
        </is>
      </c>
      <c r="C19" s="15" t="inlineStr">
        <is>
          <t>Supervisor</t>
        </is>
      </c>
      <c r="D19" s="16" t="n">
        <v>13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100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71841588</t>
        </is>
      </c>
      <c r="C20" s="13" t="inlineStr">
        <is>
          <t>Analista</t>
        </is>
      </c>
      <c r="D20" s="14" t="n">
        <v>-18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0</v>
      </c>
      <c r="L20" s="14">
        <f>D20+F20+H20+I20+J20+K20</f>
        <v/>
      </c>
      <c r="M20" s="14">
        <f>E20</f>
        <v/>
      </c>
    </row>
    <row r="21">
      <c r="A21" s="17" t="inlineStr">
        <is>
          <t>TOTALES</t>
        </is>
      </c>
      <c r="D21" s="18">
        <f>SUM(D10:D20)</f>
        <v/>
      </c>
      <c r="E21" s="18">
        <f>SUM(E10:E20)</f>
        <v/>
      </c>
      <c r="F21" s="18">
        <f>SUM(F10:F20)</f>
        <v/>
      </c>
      <c r="G21" s="18">
        <f>SUM(G10:G20)</f>
        <v/>
      </c>
      <c r="H21" s="18">
        <f>SUM(H10:H20)</f>
        <v/>
      </c>
      <c r="I21" s="18">
        <f>SUM(I10:I20)</f>
        <v/>
      </c>
      <c r="J21" s="18">
        <f>SUM(J10:J20)</f>
        <v/>
      </c>
      <c r="K21" s="18">
        <f>SUM(K10:K20)</f>
        <v/>
      </c>
      <c r="L21" s="18">
        <f>SUM(L10:L20)</f>
        <v/>
      </c>
      <c r="M21" s="18">
        <f>SUM(M10:M20)</f>
        <v/>
      </c>
    </row>
    <row r="37">
      <c r="A37" s="19" t="inlineStr">
        <is>
          <t>REGIMEN</t>
        </is>
      </c>
      <c r="B37" s="19" t="inlineStr">
        <is>
          <t>CANTIDAD</t>
        </is>
      </c>
    </row>
    <row r="38">
      <c r="A38" t="inlineStr">
        <is>
          <t>AFP</t>
        </is>
      </c>
      <c r="B38" t="n">
        <v>5</v>
      </c>
    </row>
    <row r="39">
      <c r="A39" t="inlineStr">
        <is>
          <t>ONP</t>
        </is>
      </c>
      <c r="B39" t="n">
        <v>6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Ingeniero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125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