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acaciones" state="visible" r:id="rId4"/>
  </sheets>
  <calcPr calcId="171027"/>
</workbook>
</file>

<file path=xl/sharedStrings.xml><?xml version="1.0" encoding="utf-8"?>
<sst xmlns="http://schemas.openxmlformats.org/spreadsheetml/2006/main" count="20" uniqueCount="20">
  <si>
    <t>CALCULADORA DE VACACIONES — CONSULTORA DE NEGOCIOS</t>
  </si>
  <si>
    <t>Días de vacaciones proporcionales y vacaciones truncas · D.S. 012-92-TR</t>
  </si>
  <si>
    <t>📝 DATOS DEL TRABAJADOR</t>
  </si>
  <si>
    <t>Fecha de ingreso</t>
  </si>
  <si>
    <t>Fecha de corte (hoy)</t>
  </si>
  <si>
    <t>Sueldo mensual</t>
  </si>
  <si>
    <t>Años completos trabajados</t>
  </si>
  <si>
    <t>Días de vacaciones por año</t>
  </si>
  <si>
    <t>Remuneración diaria</t>
  </si>
  <si>
    <t>📊 CÁLCULO DE VACACIONES</t>
  </si>
  <si>
    <t>Días acumulados (años × 30)</t>
  </si>
  <si>
    <t>Días proporcionales del año actual</t>
  </si>
  <si>
    <t>TOTAL DÍAS DE VACACIONES</t>
  </si>
  <si>
    <t>💵 VALOR ECONÓMICO</t>
  </si>
  <si>
    <t>Remuneración vacacional (30/360 × días)</t>
  </si>
  <si>
    <t>Bonificación vacacional (25% si &lt; 5 años)</t>
  </si>
  <si>
    <t>TOTAL A PAGAR POR VACACIONES</t>
  </si>
  <si>
    <t>💡 Vacaciones: 30 días calendario por año completo de servicios.</t>
  </si>
  <si>
    <t>💡 Bonificación vacacional: 25% si el trabajador tiene menos de 5 años.</t>
  </si>
  <si>
    <t>Consultora de Negocios · Calculadora Vacaciones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</si>
</sst>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&quot;S/&quot; #,##0.00"/>
    <numFmt numFmtId="166" formatCode="0 &quot;días&quot;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6" fontId="3" fillId="2" borderId="1" xfId="0" applyNumberFormat="1" applyFont="1" applyFill="1" applyBorder="1" applyAlignment="1">
      <alignment horizontal="right" vertical="center"/>
    </xf>
    <xf numFmtId="0" fontId="3" fillId="4" borderId="0" xfId="0" applyFont="1" applyFill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45444</v>
      </c>
    </row>
    <row r="6" spans="1:2" x14ac:dyDescent="0.25">
      <c r="A6" s="4" t="s">
        <v>4</v>
      </c>
      <c r="B6" s="5">
        <v>46257</v>
      </c>
    </row>
    <row r="7" spans="1:2" x14ac:dyDescent="0.25">
      <c r="A7" s="4" t="s">
        <v>5</v>
      </c>
      <c r="B7" s="6">
        <v>2800</v>
      </c>
    </row>
    <row r="8" spans="1:2" x14ac:dyDescent="0.25">
      <c r="A8" s="4" t="s">
        <v>6</v>
      </c>
      <c r="B8" s="7">
        <f>YEAR(B6)-YEAR(B5)</f>
      </c>
    </row>
    <row r="9" spans="1:2" x14ac:dyDescent="0.25">
      <c r="A9" s="4" t="s">
        <v>7</v>
      </c>
      <c r="B9" s="8">
        <v>30</v>
      </c>
    </row>
    <row r="10" spans="1:2" x14ac:dyDescent="0.25">
      <c r="A10" s="4" t="s">
        <v>8</v>
      </c>
      <c r="B10" s="6">
        <f>ROUND(B7/30,2)</f>
      </c>
    </row>
    <row r="12" spans="1:4" x14ac:dyDescent="0.25">
      <c r="A12" s="9" t="s">
        <v>9</v>
      </c>
      <c r="B12" s="9"/>
      <c r="C12" s="9"/>
      <c r="D12" s="9"/>
    </row>
    <row r="13" spans="1:2" x14ac:dyDescent="0.25">
      <c r="A13" s="4" t="s">
        <v>10</v>
      </c>
      <c r="B13" s="10">
        <f>B8*B9</f>
      </c>
    </row>
    <row r="14" spans="1:2" x14ac:dyDescent="0.25">
      <c r="A14" s="4" t="s">
        <v>11</v>
      </c>
      <c r="B14" s="10">
        <f>ROUND((DATE(YEAR(B6),MONTH(B5),DAY(B5))-DATE(YEAR(B6)-1,MONTH(B5),DAY(B5)))/360*30,0)</f>
      </c>
    </row>
    <row r="15" spans="1:2" x14ac:dyDescent="0.25">
      <c r="A15" s="11" t="s">
        <v>12</v>
      </c>
      <c r="B15" s="12">
        <f>B13+B14</f>
      </c>
    </row>
    <row r="17" spans="1:4" x14ac:dyDescent="0.25">
      <c r="A17" s="13" t="s">
        <v>13</v>
      </c>
      <c r="B17" s="13"/>
      <c r="C17" s="13"/>
      <c r="D17" s="13"/>
    </row>
    <row r="18" spans="1:2" x14ac:dyDescent="0.25">
      <c r="A18" s="4" t="s">
        <v>14</v>
      </c>
      <c r="B18" s="6">
        <f>ROUND(B10*B15,2)</f>
      </c>
    </row>
    <row r="19" spans="1:2" x14ac:dyDescent="0.25">
      <c r="A19" s="4" t="s">
        <v>15</v>
      </c>
      <c r="B19" s="6">
        <f>IF(B8&lt;5,ROUND(B18*0.25,2),0)</f>
      </c>
    </row>
    <row r="20" spans="1:2" x14ac:dyDescent="0.25">
      <c r="A20" s="11" t="s">
        <v>16</v>
      </c>
      <c r="B20" s="14">
        <f>B18+B19</f>
      </c>
    </row>
    <row r="22" spans="1:1" x14ac:dyDescent="0.25">
      <c r="A22" s="15" t="s">
        <v>17</v>
      </c>
    </row>
    <row r="23" spans="1:1" x14ac:dyDescent="0.25">
      <c r="A23" s="15" t="s">
        <v>18</v>
      </c>
    </row>
    <row r="25" spans="1:4" x14ac:dyDescent="0.25">
      <c r="A25" s="16" t="s">
        <v>19</v>
      </c>
      <c r="B25" s="16"/>
      <c r="C25" s="16"/>
      <c r="D25" s="16"/>
    </row>
  </sheetData>
  <mergeCells count="6">
    <mergeCell ref="A1:E1"/>
    <mergeCell ref="A2:E2"/>
    <mergeCell ref="A4:D4"/>
    <mergeCell ref="A12:D12"/>
    <mergeCell ref="A17:D17"/>
    <mergeCell ref="A25:D2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Vacaciones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2026-08-23T16:46:36Z</dcterms:created>
  <dcterms:modified xsi:type="dcterms:W3CDTF">2026-08-23T16:46:36Z</dcterms:modified>
</cp:coreProperties>
</file>