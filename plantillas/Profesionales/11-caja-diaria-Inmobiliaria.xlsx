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<sst xmlns="http://schemas.openxmlformats.org/spreadsheetml/2006/main" count="129" uniqueCount="91">
  <si>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INMOBILIARIA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</si>
  <si>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</si>
  <si>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</si>
  <si>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</si>
  <si>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</si>
  <si>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</si>
  <si>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</si>
  <si>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</si>
  <si>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</si>
  <si>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</si>
  <si>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</si>
  <si>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</si>
  <si>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Venta de terreno</t>
  </si>
  <si>
    <t>08:30</t>
  </si>
  <si>
    <t>B001-10001</t>
  </si>
  <si>
    <t>Yape</t>
  </si>
  <si>
    <t>Alquiler de local</t>
  </si>
  <si>
    <t>09:15</t>
  </si>
  <si>
    <t>B001-10002</t>
  </si>
  <si>
    <t>Plin</t>
  </si>
  <si>
    <t>Administración de inmuebles</t>
  </si>
  <si>
    <t>09:45</t>
  </si>
  <si>
    <t>B001-10003</t>
  </si>
  <si>
    <t>Alquiler de departamento</t>
  </si>
  <si>
    <t>10:20</t>
  </si>
  <si>
    <t>B001-10004</t>
  </si>
  <si>
    <t>Tarjeta</t>
  </si>
  <si>
    <t>Asesoría legal</t>
  </si>
  <si>
    <t>11:00</t>
  </si>
  <si>
    <t>B001-10005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</si>
  <si>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</si>
  <si>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</si>
  <si>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</si>
  <si>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</si>
  <si>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</si>
  <si>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</si>
  <si>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</si>
  <si>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</si>
  <si>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</si>
  <si>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</si>
  <si>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</si>
  <si>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Publicación destacada</t>
  </si>
  <si>
    <t>15:00</t>
  </si>
  <si>
    <t>B001-10011</t>
  </si>
  <si>
    <t>15:30</t>
  </si>
  <si>
    <t>B001-10012</t>
  </si>
  <si>
    <t>Tasación</t>
  </si>
  <si>
    <t>16:00</t>
  </si>
  <si>
    <t>B001-10013</t>
  </si>
  <si>
    <t>Venta de departamento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</si>
  <si>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</si>
  <si>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</si>
  <si>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</si>
  <si>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</si>
  <si>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</si>
  <si>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</si>
  <si>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</si>
  <si>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</si>
  <si>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</si>
  <si>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</si>
  <si>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</si>
  <si>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</si>
  <si>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</si>
  <si>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</si>
  <si>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</si>
  <si>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</si>
  <si>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</si>
  <si>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</si>
  <si>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</si>
  <si>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</si>
  <si>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</si>
  <si>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</si>
  <si>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</si>
  <si>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</si>
  <si>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</si>
  <si>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</si>
  <si>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</si>
  <si>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</si>
  <si>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</si>
  <si>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INMOBILIARIA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</si>
  <si>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</si>
  <si>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</si>
  <si>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</si>
  <si>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</si>
  <si>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</si>
  <si>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</si>
  <si>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</si>
  <si>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</si>
  <si>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</si>
  <si>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</si>
  <si>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Inmobiliaria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</si>
</sst>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45.54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24.53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36.29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56.16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27</v>
      </c>
      <c r="E9" s="5">
        <v>23.32</v>
      </c>
      <c r="F9" s="5">
        <f>ROUND(E9/1.18*0.18,2)</f>
      </c>
      <c r="G9" s="5">
        <f>E9</f>
      </c>
    </row>
    <row r="10" spans="1:7" x14ac:dyDescent="0.25">
      <c r="A10" s="6" t="s">
        <v>28</v>
      </c>
      <c r="B10" s="6" t="s">
        <v>29</v>
      </c>
      <c r="C10" s="6" t="s">
        <v>15</v>
      </c>
      <c r="D10" s="6" t="s">
        <v>23</v>
      </c>
      <c r="E10" s="7">
        <v>34.11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16</v>
      </c>
      <c r="E11" s="5">
        <v>9.47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20</v>
      </c>
      <c r="E12" s="7">
        <v>47.49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20</v>
      </c>
      <c r="E13" s="5">
        <v>11.25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12</v>
      </c>
      <c r="E14" s="7">
        <v>37.06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41</v>
      </c>
      <c r="E15" s="5">
        <v>7.64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12</v>
      </c>
      <c r="E16" s="7">
        <v>43.93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46</v>
      </c>
      <c r="E17" s="5">
        <v>24.25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49</v>
      </c>
      <c r="E18" s="7">
        <v>45.59</v>
      </c>
      <c r="F18" s="7">
        <f>ROUND(E18/1.18*0.18,2)</f>
      </c>
      <c r="G18" s="7">
        <f>E18</f>
      </c>
    </row>
    <row r="19" spans="1:7" x14ac:dyDescent="0.25">
      <c r="A19" s="4" t="s">
        <v>50</v>
      </c>
      <c r="B19" s="4" t="s">
        <v>51</v>
      </c>
      <c r="C19" s="4" t="s">
        <v>26</v>
      </c>
      <c r="D19" s="4" t="s">
        <v>20</v>
      </c>
      <c r="E19" s="5">
        <v>5.2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20</v>
      </c>
      <c r="E20" s="7">
        <v>13.64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49</v>
      </c>
      <c r="E21" s="5">
        <v>46.71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46</v>
      </c>
      <c r="E22" s="7">
        <v>38.11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36</v>
      </c>
      <c r="D23" s="4" t="s">
        <v>46</v>
      </c>
      <c r="E23" s="5">
        <v>42.52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20</v>
      </c>
      <c r="E24" s="7">
        <v>50.05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3</v>
      </c>
      <c r="C5" s="5">
        <f>200*B5</f>
      </c>
    </row>
    <row r="6" spans="1:3" x14ac:dyDescent="0.25">
      <c r="A6" s="6" t="s">
        <v>68</v>
      </c>
      <c r="B6" s="9">
        <v>2</v>
      </c>
      <c r="C6" s="7">
        <f>100*B6</f>
      </c>
    </row>
    <row r="7" spans="1:3" x14ac:dyDescent="0.25">
      <c r="A7" s="4" t="s">
        <v>69</v>
      </c>
      <c r="B7" s="8">
        <v>4</v>
      </c>
      <c r="C7" s="5">
        <f>50*B7</f>
      </c>
    </row>
    <row r="8" spans="1:3" x14ac:dyDescent="0.25">
      <c r="A8" s="6" t="s">
        <v>70</v>
      </c>
      <c r="B8" s="9">
        <v>2</v>
      </c>
      <c r="C8" s="7">
        <f>20*B8</f>
      </c>
    </row>
    <row r="9" spans="1:3" x14ac:dyDescent="0.25">
      <c r="A9" s="4" t="s">
        <v>71</v>
      </c>
      <c r="B9" s="8">
        <v>12</v>
      </c>
      <c r="C9" s="5">
        <f>10*B9</f>
      </c>
    </row>
    <row r="10" spans="1:3" x14ac:dyDescent="0.25">
      <c r="A10" s="6" t="s">
        <v>72</v>
      </c>
      <c r="B10" s="9">
        <v>10</v>
      </c>
      <c r="C10" s="7">
        <f>5*B10</f>
      </c>
    </row>
    <row r="11" spans="1:3" x14ac:dyDescent="0.25">
      <c r="A11" s="4" t="s">
        <v>73</v>
      </c>
      <c r="B11" s="8">
        <v>17</v>
      </c>
      <c r="C11" s="5">
        <f>2*B11</f>
      </c>
    </row>
    <row r="12" spans="1:3" x14ac:dyDescent="0.25">
      <c r="A12" s="6" t="s">
        <v>74</v>
      </c>
      <c r="B12" s="9">
        <v>7</v>
      </c>
      <c r="C12" s="7">
        <f>1*B12</f>
      </c>
    </row>
    <row r="13" spans="1:3" x14ac:dyDescent="0.25">
      <c r="A13" s="4" t="s">
        <v>75</v>
      </c>
      <c r="B13" s="8">
        <v>19</v>
      </c>
      <c r="C13" s="5">
        <f>0.5*B13</f>
      </c>
    </row>
    <row r="14" spans="1:3" x14ac:dyDescent="0.25">
      <c r="A14" s="6" t="s">
        <v>76</v>
      </c>
      <c r="B14" s="9">
        <v>15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{084ED579-CD39-4775-88FD-B6DCC9A8A590}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4ED579-CD39-4775-88FD-B6DCC9A8A590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