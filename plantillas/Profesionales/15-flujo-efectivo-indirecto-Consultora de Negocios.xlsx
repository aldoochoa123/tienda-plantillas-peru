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<sst xmlns="http://schemas.openxmlformats.org/spreadsheetml/2006/main" count="30" uniqueCount="27">
  <si>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CONSULTORA DE NEGOCIOS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</si>
  <si>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</si>
  <si>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</si>
  <si>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</si>
  <si>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</si>
  <si>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</si>
  <si>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</si>
  <si>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</si>
  <si>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</si>
  <si>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</si>
  <si>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</si>
  <si>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</si>
  <si>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</si>
  <si>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</si>
  <si>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</si>
  <si>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</si>
  <si>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</si>
  <si>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</si>
  <si>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</si>
  <si>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</si>
  <si>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</si>
  <si>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</si>
  <si>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</si>
  <si>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</si>
  <si>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</si>
  <si>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</si>
  <si>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Consultora de Negocios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</si>
</sst>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9978</v>
      </c>
      <c r="C6" s="6">
        <v>10976</v>
      </c>
      <c r="D6" s="6">
        <f>B6+C6</f>
      </c>
    </row>
    <row r="7" spans="1:4" x14ac:dyDescent="0.25">
      <c r="A7" s="7" t="s">
        <v>8</v>
      </c>
      <c r="B7" s="8">
        <v>3444</v>
      </c>
      <c r="C7" s="8">
        <v>2860</v>
      </c>
      <c r="D7" s="8">
        <f>B7+C7</f>
      </c>
    </row>
    <row r="8" spans="1:4" x14ac:dyDescent="0.25">
      <c r="A8" s="5" t="s">
        <v>9</v>
      </c>
      <c r="B8" s="6">
        <v>-1132</v>
      </c>
      <c r="C8" s="6">
        <v>-590</v>
      </c>
      <c r="D8" s="6">
        <f>B8+C8</f>
      </c>
    </row>
    <row r="9" spans="1:4" x14ac:dyDescent="0.25">
      <c r="A9" s="7" t="s">
        <v>10</v>
      </c>
      <c r="B9" s="8">
        <v>829</v>
      </c>
      <c r="C9" s="8">
        <v>813</v>
      </c>
      <c r="D9" s="8">
        <f>B9+C9</f>
      </c>
    </row>
    <row r="10" spans="1:4" x14ac:dyDescent="0.25">
      <c r="A10" s="5" t="s">
        <v>11</v>
      </c>
      <c r="B10" s="6">
        <v>-2910</v>
      </c>
      <c r="C10" s="6">
        <v>-2440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-14880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-5107</v>
      </c>
      <c r="C15" s="8">
        <v>-1022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10191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-4815</v>
      </c>
      <c r="C20" s="8">
        <v>-5053</v>
      </c>
      <c r="D20" s="8">
        <f>B20+C20</f>
      </c>
    </row>
    <row r="21" spans="1:4" x14ac:dyDescent="0.25">
      <c r="A21" s="5" t="s">
        <v>20</v>
      </c>
      <c r="B21" s="6">
        <v>-3244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21121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