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<sst xmlns="http://schemas.openxmlformats.org/spreadsheetml/2006/main" count="129" uniqueCount="90">
  <si>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ESTUDIO DE ABOGADOS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</si>
  <si>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</si>
  <si>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</si>
  <si>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</si>
  <si>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</si>
  <si>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</si>
  <si>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</si>
  <si>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</si>
  <si>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</si>
  <si>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</si>
  <si>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</si>
  <si>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</si>
  <si>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Contratos</t>
  </si>
  <si>
    <t>08:30</t>
  </si>
  <si>
    <t>B001-10001</t>
  </si>
  <si>
    <t>Yape</t>
  </si>
  <si>
    <t>Defensa laboral</t>
  </si>
  <si>
    <t>09:15</t>
  </si>
  <si>
    <t>B001-10002</t>
  </si>
  <si>
    <t>Plin</t>
  </si>
  <si>
    <t>Notarización</t>
  </si>
  <si>
    <t>09:45</t>
  </si>
  <si>
    <t>B001-10003</t>
  </si>
  <si>
    <t>Defensa penal</t>
  </si>
  <si>
    <t>10:20</t>
  </si>
  <si>
    <t>B001-10004</t>
  </si>
  <si>
    <t>Tarjeta</t>
  </si>
  <si>
    <t>Defensa civil</t>
  </si>
  <si>
    <t>11:00</t>
  </si>
  <si>
    <t>B001-10005</t>
  </si>
  <si>
    <t>11:40</t>
  </si>
  <si>
    <t>B001-10006</t>
  </si>
  <si>
    <t>Trámites SUNARP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</si>
  <si>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</si>
  <si>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</si>
  <si>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</si>
  <si>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</si>
  <si>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</si>
  <si>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</si>
  <si>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</si>
  <si>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</si>
  <si>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</si>
  <si>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</si>
  <si>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</si>
  <si>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</si>
  <si>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</si>
  <si>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</si>
  <si>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</si>
  <si>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</si>
  <si>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</si>
  <si>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</si>
  <si>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</si>
  <si>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</si>
  <si>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</si>
  <si>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Consulta legal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</si>
  <si>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</si>
  <si>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</si>
  <si>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</si>
  <si>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</si>
  <si>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</si>
  <si>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</si>
  <si>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</si>
  <si>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</si>
  <si>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</si>
  <si>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</si>
  <si>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</si>
  <si>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</si>
  <si>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</si>
  <si>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</si>
  <si>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</si>
  <si>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</si>
  <si>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</si>
  <si>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</si>
  <si>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</si>
  <si>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</si>
  <si>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</si>
  <si>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</si>
  <si>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</si>
  <si>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ESTUDIO DE ABOGADOS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</si>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</sst>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13.64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23.51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42.22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4.92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55.96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50.03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24.55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32</v>
      </c>
      <c r="E12" s="7">
        <v>6.09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20</v>
      </c>
      <c r="E13" s="5">
        <v>14.2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16</v>
      </c>
      <c r="E14" s="7">
        <v>31.26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20</v>
      </c>
      <c r="E15" s="5">
        <v>34.88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27</v>
      </c>
      <c r="E16" s="7">
        <v>44.45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20</v>
      </c>
      <c r="E17" s="5">
        <v>25.23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23</v>
      </c>
      <c r="E18" s="7">
        <v>19.82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16</v>
      </c>
      <c r="E19" s="5">
        <v>33.75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12</v>
      </c>
      <c r="E20" s="7">
        <v>21.71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16.61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44.02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20</v>
      </c>
      <c r="E23" s="5">
        <v>42.87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32</v>
      </c>
      <c r="E24" s="7">
        <v>27.85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1</v>
      </c>
      <c r="C7" s="5">
        <f>50*B7</f>
      </c>
    </row>
    <row r="8" spans="1:3" x14ac:dyDescent="0.25">
      <c r="A8" s="6" t="s">
        <v>69</v>
      </c>
      <c r="B8" s="9">
        <v>11</v>
      </c>
      <c r="C8" s="7">
        <f>20*B8</f>
      </c>
    </row>
    <row r="9" spans="1:3" x14ac:dyDescent="0.25">
      <c r="A9" s="4" t="s">
        <v>70</v>
      </c>
      <c r="B9" s="8">
        <v>19</v>
      </c>
      <c r="C9" s="5">
        <f>10*B9</f>
      </c>
    </row>
    <row r="10" spans="1:3" x14ac:dyDescent="0.25">
      <c r="A10" s="6" t="s">
        <v>71</v>
      </c>
      <c r="B10" s="9">
        <v>0</v>
      </c>
      <c r="C10" s="7">
        <f>5*B10</f>
      </c>
    </row>
    <row r="11" spans="1:3" x14ac:dyDescent="0.25">
      <c r="A11" s="4" t="s">
        <v>72</v>
      </c>
      <c r="B11" s="8">
        <v>4</v>
      </c>
      <c r="C11" s="5">
        <f>2*B11</f>
      </c>
    </row>
    <row r="12" spans="1:3" x14ac:dyDescent="0.25">
      <c r="A12" s="6" t="s">
        <v>73</v>
      </c>
      <c r="B12" s="9">
        <v>2</v>
      </c>
      <c r="C12" s="7">
        <f>1*B12</f>
      </c>
    </row>
    <row r="13" spans="1:3" x14ac:dyDescent="0.25">
      <c r="A13" s="4" t="s">
        <v>74</v>
      </c>
      <c r="B13" s="8">
        <v>6</v>
      </c>
      <c r="C13" s="5">
        <f>0.5*B13</f>
      </c>
    </row>
    <row r="14" spans="1:3" x14ac:dyDescent="0.25">
      <c r="A14" s="6" t="s">
        <v>75</v>
      </c>
      <c r="B14" s="9">
        <v>16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{CE2B2579-6B1E-4709-AB2F-B9DA7D3CEED5}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2B2579-6B1E-4709-AB2F-B9DA7D3CEED5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