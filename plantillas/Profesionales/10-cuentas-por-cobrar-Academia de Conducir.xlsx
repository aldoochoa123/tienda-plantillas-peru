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tera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<sst xmlns="http://schemas.openxmlformats.org/spreadsheetml/2006/main" count="90" uniqueCount="74">
  <si>
    <t>CUENTAS POR COBRAR — ACADEMIA DE CONDUCIR</t>
  </si>
  <si>
    <t>Seguimiento de facturas y control de cartera vencida</t>
  </si>
  <si>
    <t>N° Documento</t>
  </si>
  <si>
    <t>Cliente</t>
  </si>
  <si>
    <t>RUC/DNI</t>
  </si>
  <si>
    <t>Emisión</t>
  </si>
  <si>
    <t>Vencimiento</t>
  </si>
  <si>
    <t>Monto</t>
  </si>
  <si>
    <t>Estado</t>
  </si>
  <si>
    <t>Días Atraso</t>
  </si>
  <si>
    <t>Monto Pendiente</t>
  </si>
  <si>
    <t>F001-100000</t>
  </si>
  <si>
    <t>Juan Pérez</t>
  </si>
  <si>
    <t>20305908588</t>
  </si>
  <si>
    <t>Pagada</t>
  </si>
  <si>
    <t>F001-100001</t>
  </si>
  <si>
    <t>María López S.A.C.</t>
  </si>
  <si>
    <t>20306834351</t>
  </si>
  <si>
    <t>F001-100002</t>
  </si>
  <si>
    <t>Comercial Andina E.I.R.L.</t>
  </si>
  <si>
    <t>20863326524</t>
  </si>
  <si>
    <t>F001-100003</t>
  </si>
  <si>
    <t>Lucía Fernández</t>
  </si>
  <si>
    <t>20694326387</t>
  </si>
  <si>
    <t>F001-100004</t>
  </si>
  <si>
    <t>Distribuidora Sur S.A.</t>
  </si>
  <si>
    <t>20436166731</t>
  </si>
  <si>
    <t>F001-100005</t>
  </si>
  <si>
    <t>Mercado Central S.A.C.</t>
  </si>
  <si>
    <t>20839359880</t>
  </si>
  <si>
    <t>F001-100006</t>
  </si>
  <si>
    <t>Roberto Castillo</t>
  </si>
  <si>
    <t>20429159712</t>
  </si>
  <si>
    <t>F001-100007</t>
  </si>
  <si>
    <t>Inversiones Norte</t>
  </si>
  <si>
    <t>20489754469</t>
  </si>
  <si>
    <t>F001-100008</t>
  </si>
  <si>
    <t>Agro Export S.A.C.</t>
  </si>
  <si>
    <t>20869683969</t>
  </si>
  <si>
    <t>F001-100009</t>
  </si>
  <si>
    <t>Transportes Rápidos E.I.R.L.</t>
  </si>
  <si>
    <t>20262924428</t>
  </si>
  <si>
    <t>F001-100010</t>
  </si>
  <si>
    <t>Panadería La Abuela</t>
  </si>
  <si>
    <t>20851600222</t>
  </si>
  <si>
    <t>F001-100011</t>
  </si>
  <si>
    <t>Minimarket Los Andes</t>
  </si>
  <si>
    <t>20826470895</t>
  </si>
  <si>
    <t>F001-100012</t>
  </si>
  <si>
    <t>Farmacia Salud Total</t>
  </si>
  <si>
    <t>20578119468</t>
  </si>
  <si>
    <t>Vencida</t>
  </si>
  <si>
    <t>F001-100013</t>
  </si>
  <si>
    <t>Carnicería Don Juan</t>
  </si>
  <si>
    <t>20135916801</t>
  </si>
  <si>
    <t>F001-100014</t>
  </si>
  <si>
    <t>Taller El Dragón</t>
  </si>
  <si>
    <t>20787924679</t>
  </si>
  <si>
    <t>RESUMEN DE CARTERA — ACADEMIA DE CONDUCIR</t>
  </si>
  <si>
    <t>Estado de tu cartera de clientes y aging analysis</t>
  </si>
  <si>
    <t>TOTAL EN CARTERA</t>
  </si>
  <si>
    <t>COBRADO</t>
  </si>
  <si>
    <t>PENDIENTE</t>
  </si>
  <si>
    <t/>
  </si>
  <si>
    <t>AGING — MONTOS POR ANTIGÜEDAD</t>
  </si>
  <si>
    <t>Rango</t>
  </si>
  <si>
    <t>Documentos</t>
  </si>
  <si>
    <t>Vigente (aún no vence)</t>
  </si>
  <si>
    <t>1 - 30 días</t>
  </si>
  <si>
    <t>31 - 60 días</t>
  </si>
  <si>
    <t>61 - 90 días</t>
  </si>
  <si>
    <t>+90 días (CRÍTICO)</t>
  </si>
  <si>
    <t>💡 A más de 60 días vencido, es urgente gestionar cobro. Llama o envía recordatorio por WhatsApp.</t>
  </si>
  <si>
    <t>Academia de Conducir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</si>
</sst>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b/>
      <color rgb="FFF59E0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2563EB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5" fillId="5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165" fontId="6" fillId="4" borderId="0" xfId="0" applyNumberFormat="1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workbookViewId="0" showGridLines="0"/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5" width="12" customWidth="1"/>
    <col min="6" max="6" width="13" customWidth="1"/>
    <col min="7" max="7" width="12" customWidth="1"/>
    <col min="8" max="8" width="13" customWidth="1"/>
    <col min="9" max="9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s="4" t="s">
        <v>11</v>
      </c>
      <c r="B5" s="4" t="s">
        <v>12</v>
      </c>
      <c r="C5" s="4" t="s">
        <v>13</v>
      </c>
      <c r="D5" s="5">
        <v>46041</v>
      </c>
      <c r="E5" s="5">
        <v>46056</v>
      </c>
      <c r="F5" s="6">
        <v>3595.69</v>
      </c>
      <c r="G5" s="4" t="s">
        <v>14</v>
      </c>
      <c r="H5" s="7">
        <f>IF(G5="Pagada",0,IF(TODAY()&gt;E5,TODAY()-E5,0))</f>
      </c>
      <c r="I5" s="6">
        <f>IF(G5="Pagada",0,F5)</f>
      </c>
    </row>
    <row r="6" spans="1:9" x14ac:dyDescent="0.25">
      <c r="A6" s="8" t="s">
        <v>15</v>
      </c>
      <c r="B6" s="8" t="s">
        <v>16</v>
      </c>
      <c r="C6" s="8" t="s">
        <v>17</v>
      </c>
      <c r="D6" s="9">
        <v>46146</v>
      </c>
      <c r="E6" s="9">
        <v>46162</v>
      </c>
      <c r="F6" s="10">
        <v>1557.28</v>
      </c>
      <c r="G6" s="8" t="s">
        <v>14</v>
      </c>
      <c r="H6" s="11">
        <f>IF(G6="Pagada",0,IF(TODAY()&gt;E6,TODAY()-E6,0))</f>
      </c>
      <c r="I6" s="10">
        <f>IF(G6="Pagada",0,F6)</f>
      </c>
    </row>
    <row r="7" spans="1:9" x14ac:dyDescent="0.25">
      <c r="A7" s="4" t="s">
        <v>18</v>
      </c>
      <c r="B7" s="4" t="s">
        <v>19</v>
      </c>
      <c r="C7" s="4" t="s">
        <v>20</v>
      </c>
      <c r="D7" s="5">
        <v>46100</v>
      </c>
      <c r="E7" s="5">
        <v>46115</v>
      </c>
      <c r="F7" s="6">
        <v>452.1</v>
      </c>
      <c r="G7" s="4" t="s">
        <v>14</v>
      </c>
      <c r="H7" s="7">
        <f>IF(G7="Pagada",0,IF(TODAY()&gt;E7,TODAY()-E7,0))</f>
      </c>
      <c r="I7" s="6">
        <f>IF(G7="Pagada",0,F7)</f>
      </c>
    </row>
    <row r="8" spans="1:9" x14ac:dyDescent="0.25">
      <c r="A8" s="8" t="s">
        <v>21</v>
      </c>
      <c r="B8" s="8" t="s">
        <v>22</v>
      </c>
      <c r="C8" s="8" t="s">
        <v>23</v>
      </c>
      <c r="D8" s="9">
        <v>46128</v>
      </c>
      <c r="E8" s="9">
        <v>46143</v>
      </c>
      <c r="F8" s="10">
        <v>1665.4</v>
      </c>
      <c r="G8" s="8" t="s">
        <v>14</v>
      </c>
      <c r="H8" s="11">
        <f>IF(G8="Pagada",0,IF(TODAY()&gt;E8,TODAY()-E8,0))</f>
      </c>
      <c r="I8" s="10">
        <f>IF(G8="Pagada",0,F8)</f>
      </c>
    </row>
    <row r="9" spans="1:9" x14ac:dyDescent="0.25">
      <c r="A9" s="4" t="s">
        <v>24</v>
      </c>
      <c r="B9" s="4" t="s">
        <v>25</v>
      </c>
      <c r="C9" s="4" t="s">
        <v>26</v>
      </c>
      <c r="D9" s="5">
        <v>46188</v>
      </c>
      <c r="E9" s="5">
        <v>46204</v>
      </c>
      <c r="F9" s="6">
        <v>2940.41</v>
      </c>
      <c r="G9" s="4" t="s">
        <v>14</v>
      </c>
      <c r="H9" s="7">
        <f>IF(G9="Pagada",0,IF(TODAY()&gt;E9,TODAY()-E9,0))</f>
      </c>
      <c r="I9" s="6">
        <f>IF(G9="Pagada",0,F9)</f>
      </c>
    </row>
    <row r="10" spans="1:9" x14ac:dyDescent="0.25">
      <c r="A10" s="8" t="s">
        <v>27</v>
      </c>
      <c r="B10" s="8" t="s">
        <v>28</v>
      </c>
      <c r="C10" s="8" t="s">
        <v>29</v>
      </c>
      <c r="D10" s="9">
        <v>46153</v>
      </c>
      <c r="E10" s="9">
        <v>46169</v>
      </c>
      <c r="F10" s="10">
        <v>3615.25</v>
      </c>
      <c r="G10" s="8" t="s">
        <v>14</v>
      </c>
      <c r="H10" s="11">
        <f>IF(G10="Pagada",0,IF(TODAY()&gt;E10,TODAY()-E10,0))</f>
      </c>
      <c r="I10" s="10">
        <f>IF(G10="Pagada",0,F10)</f>
      </c>
    </row>
    <row r="11" spans="1:9" x14ac:dyDescent="0.25">
      <c r="A11" s="4" t="s">
        <v>30</v>
      </c>
      <c r="B11" s="4" t="s">
        <v>31</v>
      </c>
      <c r="C11" s="4" t="s">
        <v>32</v>
      </c>
      <c r="D11" s="5">
        <v>46151</v>
      </c>
      <c r="E11" s="5">
        <v>46167</v>
      </c>
      <c r="F11" s="6">
        <v>1646.03</v>
      </c>
      <c r="G11" s="4" t="s">
        <v>14</v>
      </c>
      <c r="H11" s="7">
        <f>IF(G11="Pagada",0,IF(TODAY()&gt;E11,TODAY()-E11,0))</f>
      </c>
      <c r="I11" s="6">
        <f>IF(G11="Pagada",0,F11)</f>
      </c>
    </row>
    <row r="12" spans="1:9" x14ac:dyDescent="0.25">
      <c r="A12" s="8" t="s">
        <v>33</v>
      </c>
      <c r="B12" s="8" t="s">
        <v>34</v>
      </c>
      <c r="C12" s="8" t="s">
        <v>35</v>
      </c>
      <c r="D12" s="9">
        <v>46024</v>
      </c>
      <c r="E12" s="9">
        <v>46040</v>
      </c>
      <c r="F12" s="10">
        <v>372.16</v>
      </c>
      <c r="G12" s="8" t="s">
        <v>14</v>
      </c>
      <c r="H12" s="11">
        <f>IF(G12="Pagada",0,IF(TODAY()&gt;E12,TODAY()-E12,0))</f>
      </c>
      <c r="I12" s="10">
        <f>IF(G12="Pagada",0,F12)</f>
      </c>
    </row>
    <row r="13" spans="1:9" x14ac:dyDescent="0.25">
      <c r="A13" s="4" t="s">
        <v>36</v>
      </c>
      <c r="B13" s="4" t="s">
        <v>37</v>
      </c>
      <c r="C13" s="4" t="s">
        <v>38</v>
      </c>
      <c r="D13" s="5">
        <v>46097</v>
      </c>
      <c r="E13" s="5">
        <v>46113</v>
      </c>
      <c r="F13" s="6">
        <v>3354.8</v>
      </c>
      <c r="G13" s="4" t="s">
        <v>14</v>
      </c>
      <c r="H13" s="7">
        <f>IF(G13="Pagada",0,IF(TODAY()&gt;E13,TODAY()-E13,0))</f>
      </c>
      <c r="I13" s="6">
        <f>IF(G13="Pagada",0,F13)</f>
      </c>
    </row>
    <row r="14" spans="1:9" x14ac:dyDescent="0.25">
      <c r="A14" s="8" t="s">
        <v>39</v>
      </c>
      <c r="B14" s="8" t="s">
        <v>40</v>
      </c>
      <c r="C14" s="8" t="s">
        <v>41</v>
      </c>
      <c r="D14" s="9">
        <v>46189</v>
      </c>
      <c r="E14" s="9">
        <v>46204</v>
      </c>
      <c r="F14" s="10">
        <v>3232.42</v>
      </c>
      <c r="G14" s="8" t="s">
        <v>14</v>
      </c>
      <c r="H14" s="11">
        <f>IF(G14="Pagada",0,IF(TODAY()&gt;E14,TODAY()-E14,0))</f>
      </c>
      <c r="I14" s="10">
        <f>IF(G14="Pagada",0,F14)</f>
      </c>
    </row>
    <row r="15" spans="1:9" x14ac:dyDescent="0.25">
      <c r="A15" s="4" t="s">
        <v>42</v>
      </c>
      <c r="B15" s="4" t="s">
        <v>43</v>
      </c>
      <c r="C15" s="4" t="s">
        <v>44</v>
      </c>
      <c r="D15" s="5">
        <v>46158</v>
      </c>
      <c r="E15" s="5">
        <v>46174</v>
      </c>
      <c r="F15" s="6">
        <v>3089.95</v>
      </c>
      <c r="G15" s="4" t="s">
        <v>14</v>
      </c>
      <c r="H15" s="7">
        <f>IF(G15="Pagada",0,IF(TODAY()&gt;E15,TODAY()-E15,0))</f>
      </c>
      <c r="I15" s="6">
        <f>IF(G15="Pagada",0,F15)</f>
      </c>
    </row>
    <row r="16" spans="1:9" x14ac:dyDescent="0.25">
      <c r="A16" s="8" t="s">
        <v>45</v>
      </c>
      <c r="B16" s="8" t="s">
        <v>46</v>
      </c>
      <c r="C16" s="8" t="s">
        <v>47</v>
      </c>
      <c r="D16" s="9">
        <v>46182</v>
      </c>
      <c r="E16" s="9">
        <v>46197</v>
      </c>
      <c r="F16" s="10">
        <v>3577.69</v>
      </c>
      <c r="G16" s="8" t="s">
        <v>14</v>
      </c>
      <c r="H16" s="11">
        <f>IF(G16="Pagada",0,IF(TODAY()&gt;E16,TODAY()-E16,0))</f>
      </c>
      <c r="I16" s="10">
        <f>IF(G16="Pagada",0,F16)</f>
      </c>
    </row>
    <row r="17" spans="1:9" x14ac:dyDescent="0.25">
      <c r="A17" s="4" t="s">
        <v>48</v>
      </c>
      <c r="B17" s="4" t="s">
        <v>49</v>
      </c>
      <c r="C17" s="4" t="s">
        <v>50</v>
      </c>
      <c r="D17" s="5">
        <v>46066</v>
      </c>
      <c r="E17" s="5">
        <v>46081</v>
      </c>
      <c r="F17" s="6">
        <v>484.34</v>
      </c>
      <c r="G17" s="4" t="s">
        <v>51</v>
      </c>
      <c r="H17" s="7">
        <f>IF(G17="Pagada",0,IF(TODAY()&gt;E17,TODAY()-E17,0))</f>
      </c>
      <c r="I17" s="6">
        <f>IF(G17="Pagada",0,F17)</f>
      </c>
    </row>
    <row r="18" spans="1:9" x14ac:dyDescent="0.25">
      <c r="A18" s="8" t="s">
        <v>52</v>
      </c>
      <c r="B18" s="8" t="s">
        <v>53</v>
      </c>
      <c r="C18" s="8" t="s">
        <v>54</v>
      </c>
      <c r="D18" s="9">
        <v>46155</v>
      </c>
      <c r="E18" s="9">
        <v>46170</v>
      </c>
      <c r="F18" s="10">
        <v>2696.6</v>
      </c>
      <c r="G18" s="8" t="s">
        <v>14</v>
      </c>
      <c r="H18" s="11">
        <f>IF(G18="Pagada",0,IF(TODAY()&gt;E18,TODAY()-E18,0))</f>
      </c>
      <c r="I18" s="10">
        <f>IF(G18="Pagada",0,F18)</f>
      </c>
    </row>
    <row r="19" spans="1:9" x14ac:dyDescent="0.25">
      <c r="A19" s="4" t="s">
        <v>55</v>
      </c>
      <c r="B19" s="4" t="s">
        <v>56</v>
      </c>
      <c r="C19" s="4" t="s">
        <v>57</v>
      </c>
      <c r="D19" s="5">
        <v>46115</v>
      </c>
      <c r="E19" s="5">
        <v>46131</v>
      </c>
      <c r="F19" s="6">
        <v>1639.7</v>
      </c>
      <c r="G19" s="4" t="s">
        <v>14</v>
      </c>
      <c r="H19" s="7">
        <f>IF(G19="Pagada",0,IF(TODAY()&gt;E19,TODAY()-E19,0))</f>
      </c>
      <c r="I19" s="6">
        <f>IF(G19="Pagada",0,F19)</f>
      </c>
    </row>
  </sheetData>
  <mergeCells count="2">
    <mergeCell ref="A1:H1"/>
    <mergeCell ref="A2:H2"/>
  </mergeCells>
  <conditionalFormatting sqref="G5:G19">
    <cfRule type="cellIs" dxfId="0" priority="1" operator="equal">
      <formula>"Vencida"</formula>
    </cfRule>
    <cfRule type="cellIs" dxfId="1" priority="2" operator="equal">
      <formula>"Pagada"</formula>
    </cfRule>
  </conditionalFormatting>
  <conditionalFormatting sqref="H5:H19">
    <cfRule type="cellIs" dxfId="2" priority="3" operator="greaterThan">
      <formula>0</formula>
    </cfRule>
  </conditionalFormatting>
  <conditionalFormatting sqref="B14:B14">
    <cfRule type="cellIs" dxfId="3" priority="4" operator="greaterThan">
      <formula>0</formula>
    </cfRule>
  </conditionalFormatting>
  <dataValidations count="1">
    <dataValidation type="list" allowBlank="1" sqref="G5">
      <formula1>"Pagada,Pendiente,Vencida"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workbookViewId="0" showGridLines="0"/>
  </sheetViews>
  <sheetFormatPr defaultRowHeight="15" outlineLevelRow="0" outlineLevelCol="0" x14ac:dyDescent="55"/>
  <cols>
    <col min="1" max="1" width="20" customWidth="1"/>
    <col min="2" max="2" width="14" customWidth="1"/>
    <col min="3" max="3" width="12" customWidth="1"/>
    <col min="4" max="6" width="14" customWidth="1"/>
  </cols>
  <sheetData>
    <row r="1" ht="32" customHeight="1" spans="1:6" x14ac:dyDescent="0.25">
      <c r="A1" s="1" t="s">
        <v>58</v>
      </c>
      <c r="B1" s="1"/>
      <c r="C1" s="1"/>
      <c r="D1" s="1"/>
      <c r="E1" s="1"/>
      <c r="F1" s="1"/>
    </row>
    <row r="2" ht="18" customHeight="1" spans="1:6" x14ac:dyDescent="0.25">
      <c r="A2" s="2" t="s">
        <v>59</v>
      </c>
      <c r="B2" s="2"/>
      <c r="C2" s="2"/>
      <c r="D2" s="2"/>
      <c r="E2" s="2"/>
      <c r="F2" s="2"/>
    </row>
    <row r="4" spans="1:9" x14ac:dyDescent="0.25">
      <c r="A4" s="12" t="s">
        <v>60</v>
      </c>
      <c r="B4" s="12"/>
      <c r="C4" s="12"/>
      <c r="D4" s="13" t="s">
        <v>61</v>
      </c>
      <c r="E4" s="13"/>
      <c r="F4" s="13"/>
      <c r="G4" s="14" t="s">
        <v>62</v>
      </c>
      <c r="H4" s="14"/>
      <c r="I4" s="14"/>
    </row>
    <row r="5" ht="24" customHeight="1" spans="1:9" x14ac:dyDescent="0.25">
      <c r="A5" s="15">
        <f>SUM(Cartera!F5:F19)</f>
      </c>
      <c r="B5" s="15"/>
      <c r="C5" s="15"/>
      <c r="D5" s="16">
        <f>SUMIF(Cartera!$G$5:$G$19,"Pagada",Cartera!$F$5:$F$19)</f>
      </c>
      <c r="E5" s="16"/>
      <c r="F5" s="16"/>
      <c r="G5" s="17">
        <f>SUM(Cartera!I5:I19)</f>
      </c>
      <c r="H5" s="17"/>
      <c r="I5" s="17"/>
    </row>
    <row r="6" spans="1:9" x14ac:dyDescent="0.25">
      <c r="A6" s="18" t="s">
        <v>63</v>
      </c>
      <c r="B6" s="18"/>
      <c r="C6" s="18"/>
      <c r="D6" s="18" t="s">
        <v>63</v>
      </c>
      <c r="E6" s="18"/>
      <c r="F6" s="18"/>
      <c r="G6" s="18" t="s">
        <v>63</v>
      </c>
      <c r="H6" s="18"/>
      <c r="I6" s="18"/>
    </row>
    <row r="8" spans="1:1" x14ac:dyDescent="0.25">
      <c r="A8" s="19" t="s">
        <v>64</v>
      </c>
    </row>
    <row r="9" ht="22" customHeight="1" spans="1:3" x14ac:dyDescent="0.25">
      <c r="A9" s="3" t="s">
        <v>65</v>
      </c>
      <c r="B9" s="3" t="s">
        <v>7</v>
      </c>
      <c r="C9" s="3" t="s">
        <v>66</v>
      </c>
    </row>
    <row r="10" spans="1:3" x14ac:dyDescent="0.25">
      <c r="A10" s="4" t="s">
        <v>67</v>
      </c>
      <c r="B10" s="6">
        <f>SUMPRODUCT((Cartera!H5:H19=0)*(Cartera!G5:G19="Pendiente")*Cartera!F5:F19)</f>
      </c>
      <c r="C10" s="7">
        <f>SUMPRODUCT((Cartera!H5:H19=0)*(Cartera!G5:G19="Pendiente")*1)</f>
      </c>
    </row>
    <row r="11" spans="1:3" x14ac:dyDescent="0.25">
      <c r="A11" s="8" t="s">
        <v>68</v>
      </c>
      <c r="B11" s="10">
        <f>SUMPRODUCT((Cartera!H5:H19&gt;=1)*(Cartera!H5:H19&lt;=30)*Cartera!F5:F19)</f>
      </c>
      <c r="C11" s="11">
        <f>SUMPRODUCT((Cartera!H5:H19&gt;=1)*(Cartera!H5:H19&lt;=30)*1)</f>
      </c>
    </row>
    <row r="12" spans="1:3" x14ac:dyDescent="0.25">
      <c r="A12" s="4" t="s">
        <v>69</v>
      </c>
      <c r="B12" s="6">
        <f>SUMPRODUCT((Cartera!H5:H19&gt;=31)*(Cartera!H5:H19&lt;=60)*Cartera!F5:F19)</f>
      </c>
      <c r="C12" s="7">
        <f>SUMPRODUCT((Cartera!H5:H19&gt;=31)*(Cartera!H5:H19&lt;=60)*1)</f>
      </c>
    </row>
    <row r="13" spans="1:3" x14ac:dyDescent="0.25">
      <c r="A13" s="8" t="s">
        <v>70</v>
      </c>
      <c r="B13" s="10">
        <f>SUMPRODUCT((Cartera!H5:H19&gt;=61)*(Cartera!H5:H19&lt;=90)*Cartera!F5:F19)</f>
      </c>
      <c r="C13" s="11">
        <f>SUMPRODUCT((Cartera!H5:H19&gt;=61)*(Cartera!H5:H19&lt;=90)*1)</f>
      </c>
    </row>
    <row r="14" spans="1:3" x14ac:dyDescent="0.25">
      <c r="A14" s="4" t="s">
        <v>71</v>
      </c>
      <c r="B14" s="6">
        <f>SUMPRODUCT((Cartera!H5:H19&gt;90)*Cartera!F5:F19)</f>
      </c>
      <c r="C14" s="7">
        <f>SUMPRODUCT((Cartera!H5:H19&gt;90)*1)</f>
      </c>
    </row>
    <row r="16" spans="1:1" x14ac:dyDescent="0.25">
      <c r="A16" s="20" t="s">
        <v>72</v>
      </c>
    </row>
    <row r="18" spans="1:6" x14ac:dyDescent="0.25">
      <c r="A18" s="21" t="s">
        <v>73</v>
      </c>
      <c r="B18" s="21"/>
      <c r="C18" s="21"/>
      <c r="D18" s="21"/>
      <c r="E18" s="21"/>
      <c r="F18" s="21"/>
    </row>
  </sheetData>
  <mergeCells count="12">
    <mergeCell ref="A1:F1"/>
    <mergeCell ref="A2:F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18:F18"/>
  </mergeCells>
  <conditionalFormatting sqref="B10:B14">
    <cfRule type="dataBar" priority="1">
      <dataBar>
        <cfvo type="min"/>
        <cfvo type="max"/>
        <color rgb="FFDC2626"/>
      </dataBar>
      <extLst>
        <ext xmlns:x14="http://schemas.microsoft.com/office/spreadsheetml/2009/9/main" uri="{B025F937-C7B1-47D3-B67F-A62EFF666E3E}">
          <x14:id>{2409C31B-377D-4FB2-ABC0-40ECDFFD79F1}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409C31B-377D-4FB2-ABC0-40ECDFFD79F1}">
            <x14:dataBar minLength="0" maxLength="100">
              <x14:cfvo type="min"/>
              <x14:cfvo type="max"/>
            </x14:dataBar>
          </x14:cfRule>
          <xm:sqref>B10:B14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Cartera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2026-08-23T16:46:37Z</dcterms:created>
  <dcterms:modified xsi:type="dcterms:W3CDTF">2026-08-23T16:46:37Z</dcterms:modified>
</cp:coreProperties>
</file>