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yección" state="visible" r:id="rId4"/>
  </sheets>
  <calcPr calcId="171027"/>
</workbook>
</file>

<file path=xl/sharedStrings.xml><?xml version="1.0" encoding="utf-8"?>
<sst xmlns="http://schemas.openxmlformats.org/spreadsheetml/2006/main" count="39" uniqueCount="17">
  <si>
    <t>PROYECCIÓN DE FLUJO DE CAJA — TRÁMITES Y GESTORÍA</t>
  </si>
  <si>
    <t>Simula 3 escenarios: optimista, base y pesimista</t>
  </si>
  <si>
    <t>🟢 OPTIMISTA</t>
  </si>
  <si>
    <t>Mes</t>
  </si>
  <si>
    <t>Ingresos</t>
  </si>
  <si>
    <t>Gastos</t>
  </si>
  <si>
    <t>Neto</t>
  </si>
  <si>
    <t>Saldo Acum.</t>
  </si>
  <si>
    <t>Ene</t>
  </si>
  <si>
    <t>Feb</t>
  </si>
  <si>
    <t>Mar</t>
  </si>
  <si>
    <t>Abr</t>
  </si>
  <si>
    <t>May</t>
  </si>
  <si>
    <t>Jun</t>
  </si>
  <si>
    <t>🟡 BASE</t>
  </si>
  <si>
    <t>🔴 PESIMISTA</t>
  </si>
  <si>
    <t>Trámites y Gestoría · Proyección de Flujo de Caja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</si>
</sst>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2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F59E0B"/>
      </patternFill>
    </fill>
    <fill>
      <patternFill patternType="solid">
        <fgColor rgb="FFDC2626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3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showGridLines="0"/>
  </sheetViews>
  <sheetFormatPr defaultRowHeight="15" outlineLevelRow="0" outlineLevelCol="0" x14ac:dyDescent="55"/>
  <cols>
    <col min="1" max="1" width="22" customWidth="1"/>
    <col min="2" max="7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7" x14ac:dyDescent="0.25">
      <c r="A4" s="3" t="s">
        <v>2</v>
      </c>
      <c r="B4" s="3"/>
      <c r="C4" s="3"/>
      <c r="D4" s="3"/>
      <c r="E4" s="3"/>
      <c r="F4" s="3"/>
      <c r="G4" s="3"/>
    </row>
    <row r="5" ht="22" customHeight="1" spans="1: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x14ac:dyDescent="0.25">
      <c r="A6" s="5" t="s">
        <v>8</v>
      </c>
      <c r="B6" s="6">
        <v>13114</v>
      </c>
      <c r="C6" s="6">
        <v>5297</v>
      </c>
      <c r="D6" s="6">
        <f>B6-C6</f>
      </c>
      <c r="E6" s="6">
        <f>D6+8000</f>
      </c>
    </row>
    <row r="7" spans="1:5" x14ac:dyDescent="0.25">
      <c r="A7" s="7" t="s">
        <v>9</v>
      </c>
      <c r="B7" s="8">
        <v>10069</v>
      </c>
      <c r="C7" s="8">
        <v>6585</v>
      </c>
      <c r="D7" s="8">
        <f>B7-C7</f>
      </c>
      <c r="E7" s="8">
        <f>E6+D7</f>
      </c>
    </row>
    <row r="8" spans="1:5" x14ac:dyDescent="0.25">
      <c r="A8" s="5" t="s">
        <v>10</v>
      </c>
      <c r="B8" s="6">
        <v>11134</v>
      </c>
      <c r="C8" s="6">
        <v>4811</v>
      </c>
      <c r="D8" s="6">
        <f>B8-C8</f>
      </c>
      <c r="E8" s="6">
        <f>E7+D8</f>
      </c>
    </row>
    <row r="9" spans="1:5" x14ac:dyDescent="0.25">
      <c r="A9" s="7" t="s">
        <v>11</v>
      </c>
      <c r="B9" s="8">
        <v>12950</v>
      </c>
      <c r="C9" s="8">
        <v>5595</v>
      </c>
      <c r="D9" s="8">
        <f>B9-C9</f>
      </c>
      <c r="E9" s="8">
        <f>E8+D9</f>
      </c>
    </row>
    <row r="10" spans="1:5" x14ac:dyDescent="0.25">
      <c r="A10" s="5" t="s">
        <v>12</v>
      </c>
      <c r="B10" s="6">
        <v>12261</v>
      </c>
      <c r="C10" s="6">
        <v>4990</v>
      </c>
      <c r="D10" s="6">
        <f>B10-C10</f>
      </c>
      <c r="E10" s="6">
        <f>E9+D10</f>
      </c>
    </row>
    <row r="11" spans="1:5" x14ac:dyDescent="0.25">
      <c r="A11" s="7" t="s">
        <v>13</v>
      </c>
      <c r="B11" s="8">
        <v>12704</v>
      </c>
      <c r="C11" s="8">
        <v>5672</v>
      </c>
      <c r="D11" s="8">
        <f>B11-C11</f>
      </c>
      <c r="E11" s="8">
        <f>E10+D11</f>
      </c>
    </row>
    <row r="16" spans="1:7" x14ac:dyDescent="0.25">
      <c r="A16" s="9" t="s">
        <v>14</v>
      </c>
      <c r="B16" s="9"/>
      <c r="C16" s="9"/>
      <c r="D16" s="9"/>
      <c r="E16" s="9"/>
      <c r="F16" s="9"/>
      <c r="G16" s="9"/>
    </row>
    <row r="17" ht="22" customHeight="1" spans="1:5" x14ac:dyDescent="0.25">
      <c r="A17" s="4" t="s">
        <v>3</v>
      </c>
      <c r="B17" s="4" t="s">
        <v>4</v>
      </c>
      <c r="C17" s="4" t="s">
        <v>5</v>
      </c>
      <c r="D17" s="4" t="s">
        <v>6</v>
      </c>
      <c r="E17" s="4" t="s">
        <v>7</v>
      </c>
    </row>
    <row r="18" spans="1:5" x14ac:dyDescent="0.25">
      <c r="A18" s="5" t="s">
        <v>8</v>
      </c>
      <c r="B18" s="6">
        <v>10002</v>
      </c>
      <c r="C18" s="6">
        <v>5460</v>
      </c>
      <c r="D18" s="6">
        <f>B18-C18</f>
      </c>
      <c r="E18" s="6">
        <f>D18+8000</f>
      </c>
    </row>
    <row r="19" spans="1:5" x14ac:dyDescent="0.25">
      <c r="A19" s="7" t="s">
        <v>9</v>
      </c>
      <c r="B19" s="8">
        <v>11608</v>
      </c>
      <c r="C19" s="8">
        <v>6631</v>
      </c>
      <c r="D19" s="8">
        <f>B19-C19</f>
      </c>
      <c r="E19" s="8">
        <f>E18+D19</f>
      </c>
    </row>
    <row r="20" spans="1:5" x14ac:dyDescent="0.25">
      <c r="A20" s="5" t="s">
        <v>10</v>
      </c>
      <c r="B20" s="6">
        <v>6304</v>
      </c>
      <c r="C20" s="6">
        <v>4286</v>
      </c>
      <c r="D20" s="6">
        <f>B20-C20</f>
      </c>
      <c r="E20" s="6">
        <f>E19+D20</f>
      </c>
    </row>
    <row r="21" spans="1:5" x14ac:dyDescent="0.25">
      <c r="A21" s="7" t="s">
        <v>11</v>
      </c>
      <c r="B21" s="8">
        <v>9536</v>
      </c>
      <c r="C21" s="8">
        <v>6468</v>
      </c>
      <c r="D21" s="8">
        <f>B21-C21</f>
      </c>
      <c r="E21" s="8">
        <f>E20+D21</f>
      </c>
    </row>
    <row r="22" spans="1:5" x14ac:dyDescent="0.25">
      <c r="A22" s="5" t="s">
        <v>12</v>
      </c>
      <c r="B22" s="6">
        <v>8842</v>
      </c>
      <c r="C22" s="6">
        <v>3570</v>
      </c>
      <c r="D22" s="6">
        <f>B22-C22</f>
      </c>
      <c r="E22" s="6">
        <f>E21+D22</f>
      </c>
    </row>
    <row r="23" spans="1:5" x14ac:dyDescent="0.25">
      <c r="A23" s="7" t="s">
        <v>13</v>
      </c>
      <c r="B23" s="8">
        <v>11516</v>
      </c>
      <c r="C23" s="8">
        <v>5177</v>
      </c>
      <c r="D23" s="8">
        <f>B23-C23</f>
      </c>
      <c r="E23" s="8">
        <f>E22+D23</f>
      </c>
    </row>
    <row r="28" spans="1:7" x14ac:dyDescent="0.25">
      <c r="A28" s="10" t="s">
        <v>15</v>
      </c>
      <c r="B28" s="10"/>
      <c r="C28" s="10"/>
      <c r="D28" s="10"/>
      <c r="E28" s="10"/>
      <c r="F28" s="10"/>
      <c r="G28" s="10"/>
    </row>
    <row r="29" ht="22" customHeight="1" spans="1:5" x14ac:dyDescent="0.25">
      <c r="A29" s="4" t="s">
        <v>3</v>
      </c>
      <c r="B29" s="4" t="s">
        <v>4</v>
      </c>
      <c r="C29" s="4" t="s">
        <v>5</v>
      </c>
      <c r="D29" s="4" t="s">
        <v>6</v>
      </c>
      <c r="E29" s="4" t="s">
        <v>7</v>
      </c>
    </row>
    <row r="30" spans="1:5" x14ac:dyDescent="0.25">
      <c r="A30" s="5" t="s">
        <v>8</v>
      </c>
      <c r="B30" s="6">
        <v>5058</v>
      </c>
      <c r="C30" s="6">
        <v>3823</v>
      </c>
      <c r="D30" s="6">
        <f>B30-C30</f>
      </c>
      <c r="E30" s="6">
        <f>D30+8000</f>
      </c>
    </row>
    <row r="31" spans="1:5" x14ac:dyDescent="0.25">
      <c r="A31" s="7" t="s">
        <v>9</v>
      </c>
      <c r="B31" s="8">
        <v>7297</v>
      </c>
      <c r="C31" s="8">
        <v>3567</v>
      </c>
      <c r="D31" s="8">
        <f>B31-C31</f>
      </c>
      <c r="E31" s="8">
        <f>E30+D31</f>
      </c>
    </row>
    <row r="32" spans="1:5" x14ac:dyDescent="0.25">
      <c r="A32" s="5" t="s">
        <v>10</v>
      </c>
      <c r="B32" s="6">
        <v>5343</v>
      </c>
      <c r="C32" s="6">
        <v>5242</v>
      </c>
      <c r="D32" s="6">
        <f>B32-C32</f>
      </c>
      <c r="E32" s="6">
        <f>E31+D32</f>
      </c>
    </row>
    <row r="33" spans="1:5" x14ac:dyDescent="0.25">
      <c r="A33" s="7" t="s">
        <v>11</v>
      </c>
      <c r="B33" s="8">
        <v>5456</v>
      </c>
      <c r="C33" s="8">
        <v>3846</v>
      </c>
      <c r="D33" s="8">
        <f>B33-C33</f>
      </c>
      <c r="E33" s="8">
        <f>E32+D33</f>
      </c>
    </row>
    <row r="34" spans="1:5" x14ac:dyDescent="0.25">
      <c r="A34" s="5" t="s">
        <v>12</v>
      </c>
      <c r="B34" s="6">
        <v>5005</v>
      </c>
      <c r="C34" s="6">
        <v>3693</v>
      </c>
      <c r="D34" s="6">
        <f>B34-C34</f>
      </c>
      <c r="E34" s="6">
        <f>E33+D34</f>
      </c>
    </row>
    <row r="35" spans="1:5" x14ac:dyDescent="0.25">
      <c r="A35" s="7" t="s">
        <v>13</v>
      </c>
      <c r="B35" s="8">
        <v>8873</v>
      </c>
      <c r="C35" s="8">
        <v>3715</v>
      </c>
      <c r="D35" s="8">
        <f>B35-C35</f>
      </c>
      <c r="E35" s="8">
        <f>E34+D35</f>
      </c>
    </row>
    <row r="42" spans="1:7" x14ac:dyDescent="0.25">
      <c r="A42" s="11" t="s">
        <v>16</v>
      </c>
      <c r="B42" s="11"/>
      <c r="C42" s="11"/>
      <c r="D42" s="11"/>
      <c r="E42" s="11"/>
      <c r="F42" s="11"/>
      <c r="G42" s="11"/>
    </row>
  </sheetData>
  <mergeCells count="6">
    <mergeCell ref="A1:G1"/>
    <mergeCell ref="A2:G2"/>
    <mergeCell ref="A4:G4"/>
    <mergeCell ref="A16:G16"/>
    <mergeCell ref="A28:G28"/>
    <mergeCell ref="A42:G42"/>
  </mergeCells>
  <conditionalFormatting sqref="E6:E11">
    <cfRule type="cellIs" dxfId="0" priority="1" operator="lessThan">
      <formula>0</formula>
    </cfRule>
  </conditionalFormatting>
  <conditionalFormatting sqref="E18:E23">
    <cfRule type="cellIs" dxfId="1" priority="2" operator="lessThan">
      <formula>0</formula>
    </cfRule>
  </conditionalFormatting>
  <conditionalFormatting sqref="E30:E35">
    <cfRule type="cellIs" dxfId="2" priority="3" operator="lessThan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Proyección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2026-08-23T16:46:37Z</dcterms:created>
  <dcterms:modified xsi:type="dcterms:W3CDTF">2026-08-23T16:46:37Z</dcterms:modified>
</cp:coreProperties>
</file>