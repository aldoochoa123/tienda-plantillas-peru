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PROGRAMADOR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52500</v>
      </c>
      <c r="C5" s="8" t="n">
        <v>1277500</v>
      </c>
      <c r="E5" s="9" t="n">
        <v>547500</v>
      </c>
      <c r="G5" s="10" t="n">
        <v>782500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92286</v>
      </c>
      <c r="C10" s="14" t="n">
        <v>38848</v>
      </c>
      <c r="D10" s="14">
        <f>B10-C10</f>
        <v/>
      </c>
      <c r="E10" s="14">
        <f>D10+52500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118976</v>
      </c>
      <c r="C11" s="16" t="n">
        <v>51279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99042</v>
      </c>
      <c r="C12" s="14" t="n">
        <v>37676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104122</v>
      </c>
      <c r="C13" s="16" t="n">
        <v>50446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116503</v>
      </c>
      <c r="C14" s="14" t="n">
        <v>36260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85372</v>
      </c>
      <c r="C15" s="16" t="n">
        <v>43050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93623</v>
      </c>
      <c r="C16" s="14" t="n">
        <v>42046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124904</v>
      </c>
      <c r="C17" s="16" t="n">
        <v>53583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110490</v>
      </c>
      <c r="C18" s="14" t="n">
        <v>50428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87031</v>
      </c>
      <c r="C19" s="16" t="n">
        <v>45405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86560</v>
      </c>
      <c r="C20" s="14" t="n">
        <v>38301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86651</v>
      </c>
      <c r="C21" s="16" t="n">
        <v>36795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191625</v>
      </c>
    </row>
    <row r="42">
      <c r="A42" t="inlineStr">
        <is>
          <t>Alquiler</t>
        </is>
      </c>
      <c r="B42" t="n">
        <v>109500</v>
      </c>
    </row>
    <row r="43">
      <c r="A43" t="inlineStr">
        <is>
          <t>Insumos</t>
        </is>
      </c>
      <c r="B43" t="n">
        <v>98550</v>
      </c>
    </row>
    <row r="44">
      <c r="A44" t="inlineStr">
        <is>
          <t>Servicios</t>
        </is>
      </c>
      <c r="B44" t="n">
        <v>65700</v>
      </c>
    </row>
    <row r="45">
      <c r="A45" t="inlineStr">
        <is>
          <t>Marketing</t>
        </is>
      </c>
      <c r="B45" t="n">
        <v>43800</v>
      </c>
    </row>
    <row r="46">
      <c r="A46" t="inlineStr">
        <is>
          <t>Otros</t>
        </is>
      </c>
      <c r="B46" t="n">
        <v>38325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