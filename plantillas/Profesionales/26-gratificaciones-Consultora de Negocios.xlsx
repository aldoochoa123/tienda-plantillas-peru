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ratificaciones" state="visible" r:id="rId4"/>
  </sheets>
  <calcPr calcId="171027"/>
</workbook>
</file>

<file path=xl/sharedStrings.xml><?xml version="1.0" encoding="utf-8"?>
<sst xmlns="http://schemas.openxmlformats.org/spreadsheetml/2006/main" count="22" uniqueCount="22">
  <si>
    <t>CALCULADORA DE GRATIFICACIONES — CONSULTORA DE NEGOCIOS</t>
  </si>
  <si>
    <t>Gratificaciones Jul/Dic + Utilidades · D.L. 892 &amp; D.S. 005-97-TR</t>
  </si>
  <si>
    <t>📝 DATOS DEL TRABAJADOR</t>
  </si>
  <si>
    <t>Sueldo mensual</t>
  </si>
  <si>
    <t>Asignación familiar mensual</t>
  </si>
  <si>
    <t>Meses trabajados en el semestre</t>
  </si>
  <si>
    <t>Remuneración mensual</t>
  </si>
  <si>
    <t>📊 GRATIFICACIÓN (D.L. 892)</t>
  </si>
  <si>
    <t>Gratificación = Rem. mensual × meses</t>
  </si>
  <si>
    <t>Remuneración computable (Máx. 1.5 UIT)</t>
  </si>
  <si>
    <t>GRATIFICACIÓN TOTAL</t>
  </si>
  <si>
    <t>📊 UTILIDADES (D.S. 005-97-TR)</t>
  </si>
  <si>
    <t>Participación mensual (Rem. × 5%)</t>
  </si>
  <si>
    <t>Utilidad = Part. × meses trabajados</t>
  </si>
  <si>
    <t>Remuneración computable (Máx. 18 UIT)</t>
  </si>
  <si>
    <t>UTILIDAD TOTAL</t>
  </si>
  <si>
    <t>💵 RESUMEN DE PAGO</t>
  </si>
  <si>
    <t>Gratificación (Jul o Dic)</t>
  </si>
  <si>
    <t>Utilidad (Mar o Jul según empresa)</t>
  </si>
  <si>
    <t>TOTAL A PAGAR</t>
  </si>
  <si>
    <t>💡 La gratificación se paga en Jul (15) y Dic (15). La utilidad se paga en Mar (15) o Jul (15) según D.S. 005-97.</t>
  </si>
  <si>
    <t>Consultora de Negocios · Calculadora Gratificaciones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</si>
</sst>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59E0B"/>
      </patternFill>
    </fill>
    <fill>
      <patternFill patternType="solid">
        <fgColor rgb="FF2563EB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164" fontId="4" fillId="7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8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2200</v>
      </c>
    </row>
    <row r="6" spans="1:2" x14ac:dyDescent="0.25">
      <c r="A6" s="4" t="s">
        <v>4</v>
      </c>
      <c r="B6" s="5">
        <v>113</v>
      </c>
    </row>
    <row r="7" spans="1:2" x14ac:dyDescent="0.25">
      <c r="A7" s="4" t="s">
        <v>5</v>
      </c>
      <c r="B7" s="6">
        <v>6</v>
      </c>
    </row>
    <row r="8" spans="1:2" x14ac:dyDescent="0.25">
      <c r="A8" s="7" t="s">
        <v>6</v>
      </c>
      <c r="B8" s="8">
        <f>B5+B6</f>
      </c>
    </row>
    <row r="10" spans="1:4" x14ac:dyDescent="0.25">
      <c r="A10" s="9" t="s">
        <v>7</v>
      </c>
      <c r="B10" s="9"/>
      <c r="C10" s="9"/>
      <c r="D10" s="9"/>
    </row>
    <row r="11" spans="1:2" x14ac:dyDescent="0.25">
      <c r="A11" s="4" t="s">
        <v>8</v>
      </c>
      <c r="B11" s="5">
        <f>ROUND(B8*B7,2)</f>
      </c>
    </row>
    <row r="12" spans="1:2" x14ac:dyDescent="0.25">
      <c r="A12" s="4" t="s">
        <v>9</v>
      </c>
      <c r="B12" s="5">
        <f>MIN(B11,4800*1.5)</f>
      </c>
    </row>
    <row r="13" spans="1:2" x14ac:dyDescent="0.25">
      <c r="A13" s="10" t="s">
        <v>10</v>
      </c>
      <c r="B13" s="11">
        <f>B12</f>
      </c>
    </row>
    <row r="15" spans="1:4" x14ac:dyDescent="0.25">
      <c r="A15" s="12" t="s">
        <v>11</v>
      </c>
      <c r="B15" s="12"/>
      <c r="C15" s="12"/>
      <c r="D15" s="12"/>
    </row>
    <row r="16" spans="1:2" x14ac:dyDescent="0.25">
      <c r="A16" s="4" t="s">
        <v>12</v>
      </c>
      <c r="B16" s="5">
        <f>ROUND(B8*0.05,2)</f>
      </c>
    </row>
    <row r="17" spans="1:2" x14ac:dyDescent="0.25">
      <c r="A17" s="4" t="s">
        <v>13</v>
      </c>
      <c r="B17" s="5">
        <f>ROUND(B16*B7,2)</f>
      </c>
    </row>
    <row r="18" spans="1:2" x14ac:dyDescent="0.25">
      <c r="A18" s="4" t="s">
        <v>14</v>
      </c>
      <c r="B18" s="5">
        <f>MIN(B17,4800*18)</f>
      </c>
    </row>
    <row r="19" spans="1:2" x14ac:dyDescent="0.25">
      <c r="A19" s="10" t="s">
        <v>15</v>
      </c>
      <c r="B19" s="11">
        <f>B18</f>
      </c>
    </row>
    <row r="21" spans="1:4" x14ac:dyDescent="0.25">
      <c r="A21" s="13" t="s">
        <v>16</v>
      </c>
      <c r="B21" s="13"/>
      <c r="C21" s="13"/>
      <c r="D21" s="13"/>
    </row>
    <row r="22" spans="1:2" x14ac:dyDescent="0.25">
      <c r="A22" s="4" t="s">
        <v>17</v>
      </c>
      <c r="B22" s="5">
        <f>B13</f>
      </c>
    </row>
    <row r="23" spans="1:2" x14ac:dyDescent="0.25">
      <c r="A23" s="14" t="s">
        <v>18</v>
      </c>
      <c r="B23" s="15">
        <f>B19</f>
      </c>
    </row>
    <row r="24" spans="1:2" x14ac:dyDescent="0.25">
      <c r="A24" s="7" t="s">
        <v>19</v>
      </c>
      <c r="B24" s="8">
        <f>B22+B23</f>
      </c>
    </row>
    <row r="26" spans="1:1" x14ac:dyDescent="0.25">
      <c r="A26" s="16" t="s">
        <v>20</v>
      </c>
    </row>
    <row r="28" spans="1:4" x14ac:dyDescent="0.25">
      <c r="A28" s="17" t="s">
        <v>21</v>
      </c>
      <c r="B28" s="17"/>
      <c r="C28" s="17"/>
      <c r="D28" s="17"/>
    </row>
  </sheetData>
  <mergeCells count="7">
    <mergeCell ref="A1:E1"/>
    <mergeCell ref="A2:E2"/>
    <mergeCell ref="A4:D4"/>
    <mergeCell ref="A10:D10"/>
    <mergeCell ref="A15:D15"/>
    <mergeCell ref="A21:D21"/>
    <mergeCell ref="A28:D2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Gratificaciones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2026-08-23T16:46:36Z</dcterms:created>
  <dcterms:modified xsi:type="dcterms:W3CDTF">2026-08-23T16:46:36Z</dcterms:modified>
</cp:coreProperties>
</file>