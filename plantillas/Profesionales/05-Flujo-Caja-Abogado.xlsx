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ABOGADO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52500</v>
      </c>
      <c r="C5" s="8" t="n">
        <v>1277500</v>
      </c>
      <c r="E5" s="9" t="n">
        <v>657000</v>
      </c>
      <c r="G5" s="10" t="n">
        <v>673000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110063</v>
      </c>
      <c r="C10" s="14" t="n">
        <v>55081</v>
      </c>
      <c r="D10" s="14">
        <f>B10-C10</f>
        <v/>
      </c>
      <c r="E10" s="14">
        <f>D10+52500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98670</v>
      </c>
      <c r="C11" s="16" t="n">
        <v>51259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118728</v>
      </c>
      <c r="C12" s="14" t="n">
        <v>53256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95244</v>
      </c>
      <c r="C13" s="16" t="n">
        <v>48884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94875</v>
      </c>
      <c r="C14" s="14" t="n">
        <v>49266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100162</v>
      </c>
      <c r="C15" s="16" t="n">
        <v>53882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113756</v>
      </c>
      <c r="C16" s="14" t="n">
        <v>53133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119513</v>
      </c>
      <c r="C17" s="16" t="n">
        <v>62572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113460</v>
      </c>
      <c r="C18" s="14" t="n">
        <v>58503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89998</v>
      </c>
      <c r="C19" s="16" t="n">
        <v>47249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106656</v>
      </c>
      <c r="C20" s="14" t="n">
        <v>53729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91488</v>
      </c>
      <c r="C21" s="16" t="n">
        <v>57455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229949</v>
      </c>
    </row>
    <row r="42">
      <c r="A42" t="inlineStr">
        <is>
          <t>Alquiler</t>
        </is>
      </c>
      <c r="B42" t="n">
        <v>131400</v>
      </c>
    </row>
    <row r="43">
      <c r="A43" t="inlineStr">
        <is>
          <t>Insumos</t>
        </is>
      </c>
      <c r="B43" t="n">
        <v>118260</v>
      </c>
    </row>
    <row r="44">
      <c r="A44" t="inlineStr">
        <is>
          <t>Servicios</t>
        </is>
      </c>
      <c r="B44" t="n">
        <v>78840</v>
      </c>
    </row>
    <row r="45">
      <c r="A45" t="inlineStr">
        <is>
          <t>Marketing</t>
        </is>
      </c>
      <c r="B45" t="n">
        <v>52560</v>
      </c>
    </row>
    <row r="46">
      <c r="A46" t="inlineStr">
        <is>
          <t>Otros</t>
        </is>
      </c>
      <c r="B46" t="n">
        <v>45990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