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<sst xmlns="http://schemas.openxmlformats.org/spreadsheetml/2006/main" count="129" uniqueCount="91">
  <si>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GASFITERÍA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</si>
  <si>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</si>
  <si>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</si>
  <si>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</si>
  <si>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</si>
  <si>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</si>
  <si>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</si>
  <si>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</si>
  <si>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</si>
  <si>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</si>
  <si>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</si>
  <si>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</si>
  <si>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Cambio de grifería</t>
  </si>
  <si>
    <t>08:30</t>
  </si>
  <si>
    <t>B001-10001</t>
  </si>
  <si>
    <t>Yape</t>
  </si>
  <si>
    <t>09:15</t>
  </si>
  <si>
    <t>B001-10002</t>
  </si>
  <si>
    <t>Plin</t>
  </si>
  <si>
    <t>Destape de desagüe</t>
  </si>
  <si>
    <t>09:45</t>
  </si>
  <si>
    <t>B001-10003</t>
  </si>
  <si>
    <t>Instalación de baño</t>
  </si>
  <si>
    <t>10:20</t>
  </si>
  <si>
    <t>B001-10004</t>
  </si>
  <si>
    <t>Tarjeta</t>
  </si>
  <si>
    <t>Reparación de filtraciones</t>
  </si>
  <si>
    <t>11:00</t>
  </si>
  <si>
    <t>B001-10005</t>
  </si>
  <si>
    <t>11:40</t>
  </si>
  <si>
    <t>B001-10006</t>
  </si>
  <si>
    <t>Instalación de terma</t>
  </si>
  <si>
    <t>12:15</t>
  </si>
  <si>
    <t>B001-10007</t>
  </si>
  <si>
    <t>Emergencia 24h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</si>
  <si>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</si>
  <si>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</si>
  <si>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</si>
  <si>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</si>
  <si>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</si>
  <si>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</si>
  <si>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</si>
  <si>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</si>
  <si>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</si>
  <si>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</si>
  <si>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</si>
  <si>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Mantenimiento de tankes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</si>
  <si>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</si>
  <si>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</si>
  <si>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</si>
  <si>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</si>
  <si>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</si>
  <si>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</si>
  <si>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</si>
  <si>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</si>
  <si>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</si>
  <si>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</si>
  <si>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</si>
  <si>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</si>
  <si>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</si>
  <si>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</si>
  <si>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Detección de fugas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</si>
  <si>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</si>
  <si>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</si>
  <si>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</si>
  <si>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</si>
  <si>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</si>
  <si>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</si>
  <si>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</si>
  <si>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</si>
  <si>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</si>
  <si>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</si>
  <si>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</si>
  <si>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</si>
  <si>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</si>
  <si>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</si>
  <si>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</si>
  <si>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</si>
  <si>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</si>
  <si>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GASFITERÍA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</si>
  <si>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</si>
  <si>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</si>
  <si>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</si>
  <si>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</si>
  <si>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</si>
  <si>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</si>
  <si>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</si>
  <si>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</si>
  <si>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</si>
  <si>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</si>
  <si>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Gasfitería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</si>
</sst>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21.36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39.85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31.5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31.07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31.77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22</v>
      </c>
      <c r="E10" s="7">
        <v>3.32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8.86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26.57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34</v>
      </c>
      <c r="E13" s="5">
        <v>28.77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31</v>
      </c>
      <c r="E14" s="7">
        <v>13.41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19</v>
      </c>
      <c r="E15" s="5">
        <v>7.42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26</v>
      </c>
      <c r="E16" s="7">
        <v>21.13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18</v>
      </c>
      <c r="D17" s="4" t="s">
        <v>46</v>
      </c>
      <c r="E17" s="5">
        <v>32.99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22</v>
      </c>
      <c r="E18" s="7">
        <v>50.51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12</v>
      </c>
      <c r="E19" s="5">
        <v>41.74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19</v>
      </c>
      <c r="E20" s="7">
        <v>48.86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26</v>
      </c>
      <c r="E21" s="5">
        <v>42.89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26</v>
      </c>
      <c r="E22" s="7">
        <v>38.84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19</v>
      </c>
      <c r="E23" s="5">
        <v>29.98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61</v>
      </c>
      <c r="E24" s="7">
        <v>24.79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2</v>
      </c>
      <c r="C8" s="7">
        <f>20*B8</f>
      </c>
    </row>
    <row r="9" spans="1:3" x14ac:dyDescent="0.25">
      <c r="A9" s="4" t="s">
        <v>71</v>
      </c>
      <c r="B9" s="8">
        <v>8</v>
      </c>
      <c r="C9" s="5">
        <f>10*B9</f>
      </c>
    </row>
    <row r="10" spans="1:3" x14ac:dyDescent="0.25">
      <c r="A10" s="6" t="s">
        <v>72</v>
      </c>
      <c r="B10" s="9">
        <v>3</v>
      </c>
      <c r="C10" s="7">
        <f>5*B10</f>
      </c>
    </row>
    <row r="11" spans="1:3" x14ac:dyDescent="0.25">
      <c r="A11" s="4" t="s">
        <v>73</v>
      </c>
      <c r="B11" s="8">
        <v>0</v>
      </c>
      <c r="C11" s="5">
        <f>2*B11</f>
      </c>
    </row>
    <row r="12" spans="1:3" x14ac:dyDescent="0.25">
      <c r="A12" s="6" t="s">
        <v>74</v>
      </c>
      <c r="B12" s="9">
        <v>17</v>
      </c>
      <c r="C12" s="7">
        <f>1*B12</f>
      </c>
    </row>
    <row r="13" spans="1:3" x14ac:dyDescent="0.25">
      <c r="A13" s="4" t="s">
        <v>75</v>
      </c>
      <c r="B13" s="8">
        <v>8</v>
      </c>
      <c r="C13" s="5">
        <f>0.5*B13</f>
      </c>
    </row>
    <row r="14" spans="1:3" x14ac:dyDescent="0.25">
      <c r="A14" s="6" t="s">
        <v>76</v>
      </c>
      <c r="B14" s="9">
        <v>7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{DD1E9607-D9AA-495E-BC19-6FB3D41FA3AC}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1E9607-D9AA-495E-BC19-6FB3D41FA3AC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