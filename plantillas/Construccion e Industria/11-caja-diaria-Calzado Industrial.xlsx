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<sst xmlns="http://schemas.openxmlformats.org/spreadsheetml/2006/main" count="129" uniqueCount="90">
  <si>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CALZADO INDUSTRIAL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</si>
  <si>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</si>
  <si>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</si>
  <si>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</si>
  <si>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</si>
  <si>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</si>
  <si>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</si>
  <si>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</si>
  <si>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</si>
  <si>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</si>
  <si>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</si>
  <si>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</si>
  <si>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Calzado antideslizante</t>
  </si>
  <si>
    <t>08:30</t>
  </si>
  <si>
    <t>B001-10001</t>
  </si>
  <si>
    <t>Yape</t>
  </si>
  <si>
    <t>Botas de jebe</t>
  </si>
  <si>
    <t>09:15</t>
  </si>
  <si>
    <t>B001-10002</t>
  </si>
  <si>
    <t>Plin</t>
  </si>
  <si>
    <t>Ojota de jebe</t>
  </si>
  <si>
    <t>09:45</t>
  </si>
  <si>
    <t>B001-10003</t>
  </si>
  <si>
    <t>Botín industrial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</si>
  <si>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</si>
  <si>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</si>
  <si>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</si>
  <si>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</si>
  <si>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</si>
  <si>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</si>
  <si>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</si>
  <si>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</si>
  <si>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</si>
  <si>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</si>
  <si>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</si>
  <si>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</si>
  <si>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</si>
  <si>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</si>
  <si>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Zapatilla deportiva</t>
  </si>
  <si>
    <t>14:10</t>
  </si>
  <si>
    <t>B001-10010</t>
  </si>
  <si>
    <t>Zapato escolar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</si>
  <si>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</si>
  <si>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</si>
  <si>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</si>
  <si>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</si>
  <si>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</si>
  <si>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</si>
  <si>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</si>
  <si>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</si>
  <si>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</si>
  <si>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</si>
  <si>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</si>
  <si>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</si>
  <si>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</si>
  <si>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</si>
  <si>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Zapato de seguridad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</si>
  <si>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</si>
  <si>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</si>
  <si>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</si>
  <si>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</si>
  <si>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</si>
  <si>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</si>
  <si>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</si>
  <si>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</si>
  <si>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</si>
  <si>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</si>
  <si>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</si>
  <si>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</si>
  <si>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</si>
  <si>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</si>
  <si>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</si>
  <si>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</si>
  <si>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</si>
  <si>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</si>
  <si>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</si>
  <si>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</si>
  <si>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</si>
  <si>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CALZADO INDUSTRIAL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</si>
  <si>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</si>
  <si>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</si>
  <si>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</si>
  <si>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</si>
  <si>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</si>
  <si>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</si>
  <si>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</si>
  <si>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</si>
  <si>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</si>
  <si>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</si>
  <si>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Calzado Industrial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</si>
</sst>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37.12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6.41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22.94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42.83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23</v>
      </c>
      <c r="E9" s="5">
        <v>55.44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12</v>
      </c>
      <c r="E10" s="7">
        <v>36.89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20</v>
      </c>
      <c r="E11" s="5">
        <v>5.55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8.95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12</v>
      </c>
      <c r="E13" s="5">
        <v>10.86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38</v>
      </c>
      <c r="E14" s="7">
        <v>41.39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49.91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20</v>
      </c>
      <c r="E16" s="7">
        <v>45.55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20</v>
      </c>
      <c r="E17" s="5">
        <v>10.17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7">
        <v>4.54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16</v>
      </c>
      <c r="E19" s="5">
        <v>11.79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41</v>
      </c>
      <c r="E20" s="7">
        <v>12.08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41</v>
      </c>
      <c r="E21" s="5">
        <v>22.22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56</v>
      </c>
      <c r="E22" s="7">
        <v>23.89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16</v>
      </c>
      <c r="E23" s="5">
        <v>31.55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41</v>
      </c>
      <c r="E24" s="7">
        <v>12.54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2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6</v>
      </c>
      <c r="C8" s="7">
        <f>20*B8</f>
      </c>
    </row>
    <row r="9" spans="1:3" x14ac:dyDescent="0.25">
      <c r="A9" s="4" t="s">
        <v>70</v>
      </c>
      <c r="B9" s="8">
        <v>2</v>
      </c>
      <c r="C9" s="5">
        <f>10*B9</f>
      </c>
    </row>
    <row r="10" spans="1:3" x14ac:dyDescent="0.25">
      <c r="A10" s="6" t="s">
        <v>71</v>
      </c>
      <c r="B10" s="9">
        <v>14</v>
      </c>
      <c r="C10" s="7">
        <f>5*B10</f>
      </c>
    </row>
    <row r="11" spans="1:3" x14ac:dyDescent="0.25">
      <c r="A11" s="4" t="s">
        <v>72</v>
      </c>
      <c r="B11" s="8">
        <v>13</v>
      </c>
      <c r="C11" s="5">
        <f>2*B11</f>
      </c>
    </row>
    <row r="12" spans="1:3" x14ac:dyDescent="0.25">
      <c r="A12" s="6" t="s">
        <v>73</v>
      </c>
      <c r="B12" s="9">
        <v>1</v>
      </c>
      <c r="C12" s="7">
        <f>1*B12</f>
      </c>
    </row>
    <row r="13" spans="1:3" x14ac:dyDescent="0.25">
      <c r="A13" s="4" t="s">
        <v>74</v>
      </c>
      <c r="B13" s="8">
        <v>4</v>
      </c>
      <c r="C13" s="5">
        <f>0.5*B13</f>
      </c>
    </row>
    <row r="14" spans="1:3" x14ac:dyDescent="0.25">
      <c r="A14" s="6" t="s">
        <v>75</v>
      </c>
      <c r="B14" s="9">
        <v>19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{61189E8E-05D9-4B94-BEDA-99C4556A352B}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189E8E-05D9-4B94-BEDA-99C4556A352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