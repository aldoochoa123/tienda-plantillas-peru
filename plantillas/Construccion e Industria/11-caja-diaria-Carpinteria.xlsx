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<sst xmlns="http://schemas.openxmlformats.org/spreadsheetml/2006/main" count="129" uniqueCount="89">
  <si>
    <t>VENTAS DEL DIA — CARPINTERÍA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</si>
  <si>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</si>
  <si>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</si>
  <si>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</si>
  <si>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</si>
  <si>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</si>
  <si>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</si>
  <si>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</si>
  <si>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</si>
  <si>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</si>
  <si>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</si>
  <si>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</si>
  <si>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Mueble de baño</t>
  </si>
  <si>
    <t>08:30</t>
  </si>
  <si>
    <t>B001-10001</t>
  </si>
  <si>
    <t>Yape</t>
  </si>
  <si>
    <t>Escritorio</t>
  </si>
  <si>
    <t>09:15</t>
  </si>
  <si>
    <t>B001-10002</t>
  </si>
  <si>
    <t>Plin</t>
  </si>
  <si>
    <t>Repisa</t>
  </si>
  <si>
    <t>09:45</t>
  </si>
  <si>
    <t>B001-10003</t>
  </si>
  <si>
    <t>10:20</t>
  </si>
  <si>
    <t>B001-10004</t>
  </si>
  <si>
    <t>Tarjeta</t>
  </si>
  <si>
    <t>11:00</t>
  </si>
  <si>
    <t>B001-10005</t>
  </si>
  <si>
    <t>11:40</t>
  </si>
  <si>
    <t>B001-10006</t>
  </si>
  <si>
    <t>12:15</t>
  </si>
  <si>
    <t>B001-10007</t>
  </si>
  <si>
    <t>Puerta de madera</t>
  </si>
  <si>
    <t>12:50</t>
  </si>
  <si>
    <t>B001-10008</t>
  </si>
  <si>
    <t>Transferencia</t>
  </si>
  <si>
    <t>13:30</t>
  </si>
  <si>
    <t>B001-10009</t>
  </si>
  <si>
    <t>14:10</t>
  </si>
  <si>
    <t>B001-10010</t>
  </si>
  <si>
    <t>15:00</t>
  </si>
  <si>
    <t>B001-10011</t>
  </si>
  <si>
    <t>Reparación de muebles</t>
  </si>
  <si>
    <t>15:30</t>
  </si>
  <si>
    <t>B001-10012</t>
  </si>
  <si>
    <t>16:00</t>
  </si>
  <si>
    <t>B001-10013</t>
  </si>
  <si>
    <t>Mueble de cocina</t>
  </si>
  <si>
    <t>16:45</t>
  </si>
  <si>
    <t>B001-10014</t>
  </si>
  <si>
    <t>17:15</t>
  </si>
  <si>
    <t>B001-10015</t>
  </si>
  <si>
    <t>17:45</t>
  </si>
  <si>
    <t>B001-10016</t>
  </si>
  <si>
    <t>18:20</t>
  </si>
  <si>
    <t>B001-10017</t>
  </si>
  <si>
    <t>19:00</t>
  </si>
  <si>
    <t>B001-10018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</si>
  <si>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</si>
  <si>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</si>
  <si>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</si>
  <si>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</si>
  <si>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</si>
  <si>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</si>
  <si>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</si>
  <si>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</si>
  <si>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</si>
  <si>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</si>
  <si>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</si>
  <si>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</si>
  <si>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</si>
  <si>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</si>
  <si>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</si>
  <si>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</si>
  <si>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</si>
  <si>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</si>
  <si>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</si>
  <si>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CARPINTERÍA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</si>
  <si>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</si>
  <si>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</si>
  <si>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</si>
  <si>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</si>
  <si>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</si>
  <si>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</si>
  <si>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</si>
  <si>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</si>
  <si>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</si>
  <si>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</si>
  <si>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Carpintería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</si>
</sst>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22.58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16</v>
      </c>
      <c r="E6" s="7">
        <v>36.49</v>
      </c>
      <c r="F6" s="7">
        <f>ROUND(E6/1.18*0.18,2)</f>
      </c>
      <c r="G6" s="7">
        <f>E6</f>
      </c>
    </row>
    <row r="7" spans="1:7" x14ac:dyDescent="0.25">
      <c r="A7" s="4" t="s">
        <v>17</v>
      </c>
      <c r="B7" s="4" t="s">
        <v>18</v>
      </c>
      <c r="C7" s="4" t="s">
        <v>19</v>
      </c>
      <c r="D7" s="4" t="s">
        <v>20</v>
      </c>
      <c r="E7" s="5">
        <v>6.08</v>
      </c>
      <c r="F7" s="5">
        <f>ROUND(E7/1.18*0.18,2)</f>
      </c>
      <c r="G7" s="5">
        <f>E7</f>
      </c>
    </row>
    <row r="8" spans="1:7" x14ac:dyDescent="0.25">
      <c r="A8" s="6" t="s">
        <v>21</v>
      </c>
      <c r="B8" s="6" t="s">
        <v>22</v>
      </c>
      <c r="C8" s="6" t="s">
        <v>11</v>
      </c>
      <c r="D8" s="6" t="s">
        <v>16</v>
      </c>
      <c r="E8" s="7">
        <v>52.59</v>
      </c>
      <c r="F8" s="7">
        <f>ROUND(E8/1.18*0.18,2)</f>
      </c>
      <c r="G8" s="7">
        <f>E8</f>
      </c>
    </row>
    <row r="9" spans="1:7" x14ac:dyDescent="0.25">
      <c r="A9" s="4" t="s">
        <v>23</v>
      </c>
      <c r="B9" s="4" t="s">
        <v>24</v>
      </c>
      <c r="C9" s="4" t="s">
        <v>25</v>
      </c>
      <c r="D9" s="4" t="s">
        <v>12</v>
      </c>
      <c r="E9" s="5">
        <v>56.54</v>
      </c>
      <c r="F9" s="5">
        <f>ROUND(E9/1.18*0.18,2)</f>
      </c>
      <c r="G9" s="5">
        <f>E9</f>
      </c>
    </row>
    <row r="10" spans="1:7" x14ac:dyDescent="0.25">
      <c r="A10" s="6" t="s">
        <v>26</v>
      </c>
      <c r="B10" s="6" t="s">
        <v>27</v>
      </c>
      <c r="C10" s="6" t="s">
        <v>15</v>
      </c>
      <c r="D10" s="6" t="s">
        <v>12</v>
      </c>
      <c r="E10" s="7">
        <v>41.58</v>
      </c>
      <c r="F10" s="7">
        <f>ROUND(E10/1.18*0.18,2)</f>
      </c>
      <c r="G10" s="7">
        <f>E10</f>
      </c>
    </row>
    <row r="11" spans="1:7" x14ac:dyDescent="0.25">
      <c r="A11" s="4" t="s">
        <v>28</v>
      </c>
      <c r="B11" s="4" t="s">
        <v>29</v>
      </c>
      <c r="C11" s="4" t="s">
        <v>11</v>
      </c>
      <c r="D11" s="4" t="s">
        <v>20</v>
      </c>
      <c r="E11" s="5">
        <v>26.97</v>
      </c>
      <c r="F11" s="5">
        <f>ROUND(E11/1.18*0.18,2)</f>
      </c>
      <c r="G11" s="5">
        <f>E11</f>
      </c>
    </row>
    <row r="12" spans="1:7" x14ac:dyDescent="0.25">
      <c r="A12" s="6" t="s">
        <v>30</v>
      </c>
      <c r="B12" s="6" t="s">
        <v>31</v>
      </c>
      <c r="C12" s="6" t="s">
        <v>11</v>
      </c>
      <c r="D12" s="6" t="s">
        <v>32</v>
      </c>
      <c r="E12" s="7">
        <v>52.44</v>
      </c>
      <c r="F12" s="7">
        <f>ROUND(E12/1.18*0.18,2)</f>
      </c>
      <c r="G12" s="7">
        <f>E12</f>
      </c>
    </row>
    <row r="13" spans="1:7" x14ac:dyDescent="0.25">
      <c r="A13" s="4" t="s">
        <v>33</v>
      </c>
      <c r="B13" s="4" t="s">
        <v>34</v>
      </c>
      <c r="C13" s="4" t="s">
        <v>35</v>
      </c>
      <c r="D13" s="4" t="s">
        <v>32</v>
      </c>
      <c r="E13" s="5">
        <v>7.63</v>
      </c>
      <c r="F13" s="5">
        <f>ROUND(E13/1.18*0.18,2)</f>
      </c>
      <c r="G13" s="5">
        <f>E13</f>
      </c>
    </row>
    <row r="14" spans="1:7" x14ac:dyDescent="0.25">
      <c r="A14" s="6" t="s">
        <v>36</v>
      </c>
      <c r="B14" s="6" t="s">
        <v>37</v>
      </c>
      <c r="C14" s="6" t="s">
        <v>15</v>
      </c>
      <c r="D14" s="6" t="s">
        <v>16</v>
      </c>
      <c r="E14" s="7">
        <v>12.71</v>
      </c>
      <c r="F14" s="7">
        <f>ROUND(E14/1.18*0.18,2)</f>
      </c>
      <c r="G14" s="7">
        <f>E14</f>
      </c>
    </row>
    <row r="15" spans="1:7" x14ac:dyDescent="0.25">
      <c r="A15" s="4" t="s">
        <v>38</v>
      </c>
      <c r="B15" s="4" t="s">
        <v>39</v>
      </c>
      <c r="C15" s="4" t="s">
        <v>11</v>
      </c>
      <c r="D15" s="4" t="s">
        <v>32</v>
      </c>
      <c r="E15" s="5">
        <v>32.09</v>
      </c>
      <c r="F15" s="5">
        <f>ROUND(E15/1.18*0.18,2)</f>
      </c>
      <c r="G15" s="5">
        <f>E15</f>
      </c>
    </row>
    <row r="16" spans="1:7" x14ac:dyDescent="0.25">
      <c r="A16" s="6" t="s">
        <v>40</v>
      </c>
      <c r="B16" s="6" t="s">
        <v>41</v>
      </c>
      <c r="C16" s="6" t="s">
        <v>15</v>
      </c>
      <c r="D16" s="6" t="s">
        <v>42</v>
      </c>
      <c r="E16" s="7">
        <v>4.83</v>
      </c>
      <c r="F16" s="7">
        <f>ROUND(E16/1.18*0.18,2)</f>
      </c>
      <c r="G16" s="7">
        <f>E16</f>
      </c>
    </row>
    <row r="17" spans="1:7" x14ac:dyDescent="0.25">
      <c r="A17" s="4" t="s">
        <v>43</v>
      </c>
      <c r="B17" s="4" t="s">
        <v>44</v>
      </c>
      <c r="C17" s="4" t="s">
        <v>19</v>
      </c>
      <c r="D17" s="4" t="s">
        <v>12</v>
      </c>
      <c r="E17" s="5">
        <v>41.11</v>
      </c>
      <c r="F17" s="5">
        <f>ROUND(E17/1.18*0.18,2)</f>
      </c>
      <c r="G17" s="5">
        <f>E17</f>
      </c>
    </row>
    <row r="18" spans="1:7" x14ac:dyDescent="0.25">
      <c r="A18" s="6" t="s">
        <v>45</v>
      </c>
      <c r="B18" s="6" t="s">
        <v>46</v>
      </c>
      <c r="C18" s="6" t="s">
        <v>11</v>
      </c>
      <c r="D18" s="6" t="s">
        <v>47</v>
      </c>
      <c r="E18" s="7">
        <v>29.03</v>
      </c>
      <c r="F18" s="7">
        <f>ROUND(E18/1.18*0.18,2)</f>
      </c>
      <c r="G18" s="7">
        <f>E18</f>
      </c>
    </row>
    <row r="19" spans="1:7" x14ac:dyDescent="0.25">
      <c r="A19" s="4" t="s">
        <v>48</v>
      </c>
      <c r="B19" s="4" t="s">
        <v>49</v>
      </c>
      <c r="C19" s="4" t="s">
        <v>25</v>
      </c>
      <c r="D19" s="4" t="s">
        <v>32</v>
      </c>
      <c r="E19" s="5">
        <v>50.96</v>
      </c>
      <c r="F19" s="5">
        <f>ROUND(E19/1.18*0.18,2)</f>
      </c>
      <c r="G19" s="5">
        <f>E19</f>
      </c>
    </row>
    <row r="20" spans="1:7" x14ac:dyDescent="0.25">
      <c r="A20" s="6" t="s">
        <v>50</v>
      </c>
      <c r="B20" s="6" t="s">
        <v>51</v>
      </c>
      <c r="C20" s="6" t="s">
        <v>15</v>
      </c>
      <c r="D20" s="6" t="s">
        <v>42</v>
      </c>
      <c r="E20" s="7">
        <v>57.92</v>
      </c>
      <c r="F20" s="7">
        <f>ROUND(E20/1.18*0.18,2)</f>
      </c>
      <c r="G20" s="7">
        <f>E20</f>
      </c>
    </row>
    <row r="21" spans="1:7" x14ac:dyDescent="0.25">
      <c r="A21" s="4" t="s">
        <v>52</v>
      </c>
      <c r="B21" s="4" t="s">
        <v>53</v>
      </c>
      <c r="C21" s="4" t="s">
        <v>11</v>
      </c>
      <c r="D21" s="4" t="s">
        <v>47</v>
      </c>
      <c r="E21" s="5">
        <v>15.55</v>
      </c>
      <c r="F21" s="5">
        <f>ROUND(E21/1.18*0.18,2)</f>
      </c>
      <c r="G21" s="5">
        <f>E21</f>
      </c>
    </row>
    <row r="22" spans="1:7" x14ac:dyDescent="0.25">
      <c r="A22" s="6" t="s">
        <v>54</v>
      </c>
      <c r="B22" s="6" t="s">
        <v>55</v>
      </c>
      <c r="C22" s="6" t="s">
        <v>11</v>
      </c>
      <c r="D22" s="6" t="s">
        <v>20</v>
      </c>
      <c r="E22" s="7">
        <v>9.15</v>
      </c>
      <c r="F22" s="7">
        <f>ROUND(E22/1.18*0.18,2)</f>
      </c>
      <c r="G22" s="7">
        <f>E22</f>
      </c>
    </row>
    <row r="23" spans="1:7" x14ac:dyDescent="0.25">
      <c r="A23" s="4" t="s">
        <v>56</v>
      </c>
      <c r="B23" s="4" t="s">
        <v>57</v>
      </c>
      <c r="C23" s="4" t="s">
        <v>35</v>
      </c>
      <c r="D23" s="4" t="s">
        <v>32</v>
      </c>
      <c r="E23" s="5">
        <v>26.09</v>
      </c>
      <c r="F23" s="5">
        <f>ROUND(E23/1.18*0.18,2)</f>
      </c>
      <c r="G23" s="5">
        <f>E23</f>
      </c>
    </row>
    <row r="24" spans="1:7" x14ac:dyDescent="0.25">
      <c r="A24" s="6" t="s">
        <v>58</v>
      </c>
      <c r="B24" s="6" t="s">
        <v>59</v>
      </c>
      <c r="C24" s="6" t="s">
        <v>15</v>
      </c>
      <c r="D24" s="6" t="s">
        <v>47</v>
      </c>
      <c r="E24" s="7">
        <v>42.67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60</v>
      </c>
      <c r="B1" s="1"/>
      <c r="C1" s="1"/>
      <c r="D1" s="1"/>
    </row>
    <row r="2" ht="18" customHeight="1" spans="1:4" x14ac:dyDescent="0.25">
      <c r="A2" s="2" t="s">
        <v>61</v>
      </c>
      <c r="B2" s="2"/>
      <c r="C2" s="2"/>
      <c r="D2" s="2"/>
    </row>
    <row r="4" ht="22" customHeight="1" spans="1:3" x14ac:dyDescent="0.25">
      <c r="A4" s="3" t="s">
        <v>62</v>
      </c>
      <c r="B4" s="3" t="s">
        <v>63</v>
      </c>
      <c r="C4" s="3" t="s">
        <v>64</v>
      </c>
    </row>
    <row r="5" spans="1:3" x14ac:dyDescent="0.25">
      <c r="A5" s="4" t="s">
        <v>65</v>
      </c>
      <c r="B5" s="8">
        <v>4</v>
      </c>
      <c r="C5" s="5">
        <f>200*B5</f>
      </c>
    </row>
    <row r="6" spans="1:3" x14ac:dyDescent="0.25">
      <c r="A6" s="6" t="s">
        <v>66</v>
      </c>
      <c r="B6" s="9">
        <v>3</v>
      </c>
      <c r="C6" s="7">
        <f>100*B6</f>
      </c>
    </row>
    <row r="7" spans="1:3" x14ac:dyDescent="0.25">
      <c r="A7" s="4" t="s">
        <v>67</v>
      </c>
      <c r="B7" s="8">
        <v>2</v>
      </c>
      <c r="C7" s="5">
        <f>50*B7</f>
      </c>
    </row>
    <row r="8" spans="1:3" x14ac:dyDescent="0.25">
      <c r="A8" s="6" t="s">
        <v>68</v>
      </c>
      <c r="B8" s="9">
        <v>3</v>
      </c>
      <c r="C8" s="7">
        <f>20*B8</f>
      </c>
    </row>
    <row r="9" spans="1:3" x14ac:dyDescent="0.25">
      <c r="A9" s="4" t="s">
        <v>69</v>
      </c>
      <c r="B9" s="8">
        <v>16</v>
      </c>
      <c r="C9" s="5">
        <f>10*B9</f>
      </c>
    </row>
    <row r="10" spans="1:3" x14ac:dyDescent="0.25">
      <c r="A10" s="6" t="s">
        <v>70</v>
      </c>
      <c r="B10" s="9">
        <v>17</v>
      </c>
      <c r="C10" s="7">
        <f>5*B10</f>
      </c>
    </row>
    <row r="11" spans="1:3" x14ac:dyDescent="0.25">
      <c r="A11" s="4" t="s">
        <v>71</v>
      </c>
      <c r="B11" s="8">
        <v>4</v>
      </c>
      <c r="C11" s="5">
        <f>2*B11</f>
      </c>
    </row>
    <row r="12" spans="1:3" x14ac:dyDescent="0.25">
      <c r="A12" s="6" t="s">
        <v>72</v>
      </c>
      <c r="B12" s="9">
        <v>11</v>
      </c>
      <c r="C12" s="7">
        <f>1*B12</f>
      </c>
    </row>
    <row r="13" spans="1:3" x14ac:dyDescent="0.25">
      <c r="A13" s="4" t="s">
        <v>73</v>
      </c>
      <c r="B13" s="8">
        <v>18</v>
      </c>
      <c r="C13" s="5">
        <f>0.5*B13</f>
      </c>
    </row>
    <row r="14" spans="1:3" x14ac:dyDescent="0.25">
      <c r="A14" s="6" t="s">
        <v>74</v>
      </c>
      <c r="B14" s="9">
        <v>0</v>
      </c>
      <c r="C14" s="7">
        <f>0.2*B14</f>
      </c>
    </row>
    <row r="15" spans="1:3" x14ac:dyDescent="0.25">
      <c r="A15" s="10" t="s">
        <v>75</v>
      </c>
      <c r="B15" s="11" t="s">
        <v>76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77</v>
      </c>
      <c r="B1" s="1"/>
      <c r="C1" s="1"/>
      <c r="D1" s="1"/>
      <c r="E1" s="1"/>
    </row>
    <row r="2" ht="18" customHeight="1" spans="1:5" x14ac:dyDescent="0.25">
      <c r="A2" s="2" t="s">
        <v>78</v>
      </c>
      <c r="B2" s="2"/>
      <c r="C2" s="2"/>
      <c r="D2" s="2"/>
      <c r="E2" s="2"/>
    </row>
    <row r="4" spans="1:6" x14ac:dyDescent="0.25">
      <c r="A4" s="13" t="s">
        <v>79</v>
      </c>
      <c r="B4" s="13"/>
      <c r="C4" s="13"/>
      <c r="D4" s="14" t="s">
        <v>80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76</v>
      </c>
      <c r="B6" s="17"/>
      <c r="C6" s="17"/>
      <c r="D6" s="17" t="s">
        <v>76</v>
      </c>
      <c r="E6" s="17"/>
      <c r="F6" s="17"/>
    </row>
    <row r="7" spans="1:6" x14ac:dyDescent="0.25">
      <c r="A7" s="18" t="s">
        <v>81</v>
      </c>
      <c r="B7" s="18"/>
      <c r="C7" s="18"/>
      <c r="D7" s="19" t="s">
        <v>82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76</v>
      </c>
      <c r="B9" s="17"/>
      <c r="C9" s="17"/>
      <c r="D9" s="17" t="s">
        <v>76</v>
      </c>
      <c r="E9" s="17"/>
      <c r="F9" s="17"/>
    </row>
    <row r="10" spans="1:3" x14ac:dyDescent="0.25">
      <c r="A10" s="22" t="s">
        <v>83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76</v>
      </c>
      <c r="B12" s="17"/>
      <c r="C12" s="17"/>
    </row>
    <row r="13" spans="1:1" x14ac:dyDescent="0.25">
      <c r="A13" s="24" t="s">
        <v>84</v>
      </c>
    </row>
    <row r="14" ht="22" customHeight="1" spans="1:3" x14ac:dyDescent="0.25">
      <c r="A14" s="3" t="s">
        <v>85</v>
      </c>
      <c r="B14" s="3" t="s">
        <v>6</v>
      </c>
      <c r="C14" s="3" t="s">
        <v>86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19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25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35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87</v>
      </c>
    </row>
    <row r="24" spans="1:5" x14ac:dyDescent="0.25">
      <c r="A24" s="28" t="s">
        <v>88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{B5ECBE77-5931-427F-80E0-A01146EF32E8}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5ECBE77-5931-427F-80E0-A01146EF32E8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