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ómina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<sst xmlns="http://schemas.openxmlformats.org/spreadsheetml/2006/main" count="22" uniqueCount="22">
  <si>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NÓMINA — AGRICULTURA</t>
  </si>
  <si>
    <t>Desglose completo:-ingresos, descuentos y neto · Normativa peruana</t>
  </si>
  <si>
    <t>📝 INGRESOS</t>
  </si>
  <si>
    <t>Sueldo básico</t>
  </si>
  <si>
    <t>Asignación familiar</t>
  </si>
  <si>
    <t>Horas extras (25%)</t>
  </si>
  <si>
    <t>Bonificación por productividad</t>
  </si>
  <si>
    <t>TOTAL INGRESOS</t>
  </si>
  <si>
    <t>📉 DESCUENTOS OBLIGATORIOS</t>
  </si>
  <si>
    <t>AFP (sistema elegido, ej. 11.95%)</t>
  </si>
  <si>
    <t>Seguro de AFP (0.55%)</t>
  </si>
  <si>
    <t>TOTAL DESCUENTOS AFP</t>
  </si>
  <si>
    <t>💰 APORTES DEL EMPLEADOR (no se descuenta)</t>
  </si>
  <si>
    <t>EsSalud (9% del básico)</t>
  </si>
  <si>
    <t>ONP/SPP (Ley 29788 - 3%)</t>
  </si>
  <si>
    <t>TOTAL APORTES EMPLEADOR</t>
  </si>
  <si>
    <t>✅ RESUMEN</t>
  </si>
  <si>
    <t>Ingresos brutos</t>
  </si>
  <si>
    <t>(-) Descuentos AFP + Seguro</t>
  </si>
  <si>
    <t>= SUELDO NETO A PAGAR</t>
  </si>
  <si>
    <t>(+) Costo total empleador</t>
  </si>
  <si>
    <t>Agricultura · Calculadora Nómina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</si>
</sst>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1F5F3"/>
      </patternFill>
    </fill>
    <fill>
      <patternFill patternType="solid">
        <fgColor rgb="FFFEF3E2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2500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5">
        <v>322</v>
      </c>
    </row>
    <row r="8" spans="1:2" x14ac:dyDescent="0.25">
      <c r="A8" s="4" t="s">
        <v>6</v>
      </c>
      <c r="B8" s="5">
        <v>235</v>
      </c>
    </row>
    <row r="9" spans="1:2" x14ac:dyDescent="0.25">
      <c r="A9" s="6" t="s">
        <v>7</v>
      </c>
      <c r="B9" s="7">
        <f>SUM(B5:B8)</f>
      </c>
    </row>
    <row r="11" spans="1:4" x14ac:dyDescent="0.25">
      <c r="A11" s="8" t="s">
        <v>8</v>
      </c>
      <c r="B11" s="8"/>
      <c r="C11" s="8"/>
      <c r="D11" s="8"/>
    </row>
    <row r="12" spans="1:2" x14ac:dyDescent="0.25">
      <c r="A12" s="4" t="s">
        <v>9</v>
      </c>
      <c r="B12" s="5">
        <f>ROUND(B9*0.1195,2)</f>
      </c>
    </row>
    <row r="13" spans="1:2" x14ac:dyDescent="0.25">
      <c r="A13" s="9" t="s">
        <v>10</v>
      </c>
      <c r="B13" s="10">
        <f>ROUND(B9*0.0055,2)</f>
      </c>
    </row>
    <row r="14" spans="1:2" x14ac:dyDescent="0.25">
      <c r="A14" s="11" t="s">
        <v>11</v>
      </c>
      <c r="B14" s="12">
        <f>B12+B13</f>
      </c>
    </row>
    <row r="16" spans="1:4" x14ac:dyDescent="0.25">
      <c r="A16" s="13" t="s">
        <v>12</v>
      </c>
      <c r="B16" s="13"/>
      <c r="C16" s="13"/>
      <c r="D16" s="13"/>
    </row>
    <row r="17" spans="1:2" x14ac:dyDescent="0.25">
      <c r="A17" s="4" t="s">
        <v>13</v>
      </c>
      <c r="B17" s="5">
        <f>ROUND(B5*0.09,2)</f>
      </c>
    </row>
    <row r="18" spans="1:2" x14ac:dyDescent="0.25">
      <c r="A18" s="9" t="s">
        <v>14</v>
      </c>
      <c r="B18" s="10">
        <f>ROUND(B5*0.03,2)</f>
      </c>
    </row>
    <row r="19" spans="1:2" x14ac:dyDescent="0.25">
      <c r="A19" s="14" t="s">
        <v>15</v>
      </c>
      <c r="B19" s="15">
        <f>B17+B18</f>
      </c>
    </row>
    <row r="21" spans="1:4" x14ac:dyDescent="0.25">
      <c r="A21" s="16" t="s">
        <v>16</v>
      </c>
      <c r="B21" s="16"/>
      <c r="C21" s="16"/>
      <c r="D21" s="16"/>
    </row>
    <row r="22" spans="1:2" x14ac:dyDescent="0.25">
      <c r="A22" s="4" t="s">
        <v>17</v>
      </c>
      <c r="B22" s="5">
        <f>B9</f>
      </c>
    </row>
    <row r="23" spans="1:2" x14ac:dyDescent="0.25">
      <c r="A23" s="4" t="s">
        <v>18</v>
      </c>
      <c r="B23" s="5">
        <f>B14</f>
      </c>
    </row>
    <row r="24" spans="1:2" x14ac:dyDescent="0.25">
      <c r="A24" s="17" t="s">
        <v>19</v>
      </c>
      <c r="B24" s="18">
        <f>B22-B23</f>
      </c>
    </row>
    <row r="25" spans="1:2" x14ac:dyDescent="0.25">
      <c r="A25" s="4" t="s">
        <v>20</v>
      </c>
      <c r="B25" s="5">
        <f>B24+B19</f>
      </c>
    </row>
    <row r="27" spans="1:4" x14ac:dyDescent="0.25">
      <c r="A27" s="19" t="s">
        <v>21</v>
      </c>
      <c r="B27" s="19"/>
      <c r="C27" s="19"/>
      <c r="D27" s="19"/>
    </row>
  </sheetData>
  <mergeCells count="7">
    <mergeCell ref="A1:E1"/>
    <mergeCell ref="A2:E2"/>
    <mergeCell ref="A4:D4"/>
    <mergeCell ref="A11:D11"/>
    <mergeCell ref="A16:D16"/>
    <mergeCell ref="A21:D21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Nómina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