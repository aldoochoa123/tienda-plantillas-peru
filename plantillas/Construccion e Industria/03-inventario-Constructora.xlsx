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ock" state="visible" r:id="rId4"/>
    <sheet sheetId="2" name="Movimientos" state="visible" r:id="rId5"/>
  </sheets>
  <calcPr calcId="171027"/>
</workbook>
</file>

<file path=xl/sharedStrings.xml><?xml version="1.0" encoding="utf-8"?>
<sst xmlns="http://schemas.openxmlformats.org/spreadsheetml/2006/main" count="110" uniqueCount="45">
  <si>
    <t>CONTROL DE INVENTARIO — CONSTRUCTORA</t>
  </si>
  <si>
    <t>El stock actual y las alertas de reposición se calculan solos</t>
  </si>
  <si>
    <t>Código</t>
  </si>
  <si>
    <t>Producto</t>
  </si>
  <si>
    <t>Unidad</t>
  </si>
  <si>
    <t>Stock Inicial</t>
  </si>
  <si>
    <t>Entradas</t>
  </si>
  <si>
    <t>Salidas</t>
  </si>
  <si>
    <t>Stock Actual</t>
  </si>
  <si>
    <t>Stock Mín.</t>
  </si>
  <si>
    <t>Estado</t>
  </si>
  <si>
    <t>Costo Unit.</t>
  </si>
  <si>
    <t>Valorización</t>
  </si>
  <si>
    <t>SKU-001</t>
  </si>
  <si>
    <t>Obra civil</t>
  </si>
  <si>
    <t>UND</t>
  </si>
  <si>
    <t>SKU-002</t>
  </si>
  <si>
    <t>Acabados</t>
  </si>
  <si>
    <t>KG</t>
  </si>
  <si>
    <t>SKU-003</t>
  </si>
  <si>
    <t>Estructura</t>
  </si>
  <si>
    <t>CAJA</t>
  </si>
  <si>
    <t>SKU-004</t>
  </si>
  <si>
    <t>Instalaciones sanitarias</t>
  </si>
  <si>
    <t>PACK</t>
  </si>
  <si>
    <t>SKU-005</t>
  </si>
  <si>
    <t>Instalaciones eléctricas</t>
  </si>
  <si>
    <t>SKU-006</t>
  </si>
  <si>
    <t>Arquitectura</t>
  </si>
  <si>
    <t>SKU-007</t>
  </si>
  <si>
    <t>Supervisión</t>
  </si>
  <si>
    <t>SKU-008</t>
  </si>
  <si>
    <t>Metrados</t>
  </si>
  <si>
    <t/>
  </si>
  <si>
    <t>VALOR TOTAL:</t>
  </si>
  <si>
    <t>MOVIMIENTOS DE ALMACÉN — CONSTRUCTORA</t>
  </si>
  <si>
    <t>Registra entradas y salidas para mantener el stock al día</t>
  </si>
  <si>
    <t>Fecha</t>
  </si>
  <si>
    <t>Tipo</t>
  </si>
  <si>
    <t>Cantidad</t>
  </si>
  <si>
    <t>Observación</t>
  </si>
  <si>
    <t>Entrada</t>
  </si>
  <si>
    <t>Salida</t>
  </si>
  <si>
    <t>💡 Usa las flechas desplegables de la columna Tipo.</t>
  </si>
  <si>
    <t>Constructora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</si>
</sst>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dd/mm/yyyy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0" borderId="1" xfId="0" applyNumberFormat="1" applyFont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4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"/>
  <sheetViews>
    <sheetView workbookViewId="0" showGridLines="0"/>
  </sheetViews>
  <sheetFormatPr defaultRowHeight="15" outlineLevelRow="0" outlineLevelCol="0" x14ac:dyDescent="55"/>
  <cols>
    <col min="1" max="1" width="10" customWidth="1"/>
    <col min="2" max="2" width="26" customWidth="1"/>
    <col min="4" max="4" width="12" customWidth="1"/>
    <col min="5" max="6" width="10" customWidth="1"/>
    <col min="7" max="7" width="12" customWidth="1"/>
    <col min="8" max="8" width="10" customWidth="1"/>
    <col min="9" max="10" width="12" customWidth="1"/>
    <col min="11" max="11" width="13" customWidth="1"/>
  </cols>
  <sheetData>
    <row r="1" ht="32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18" customHeight="1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ht="22" customHeight="1" spans="1:1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spans="1:11" x14ac:dyDescent="0.25">
      <c r="A5" s="4" t="s">
        <v>13</v>
      </c>
      <c r="B5" s="4" t="s">
        <v>14</v>
      </c>
      <c r="C5" s="4" t="s">
        <v>15</v>
      </c>
      <c r="D5" s="5">
        <v>97</v>
      </c>
      <c r="E5" s="5">
        <v>36</v>
      </c>
      <c r="F5" s="5">
        <v>35</v>
      </c>
      <c r="G5" s="5">
        <f>D5+E5-F5</f>
      </c>
      <c r="H5" s="5">
        <v>15</v>
      </c>
      <c r="I5" s="6">
        <f>IF(G5&lt;=H5,"⚠ REPONER","OK")</f>
      </c>
      <c r="J5" s="7">
        <v>33.7</v>
      </c>
      <c r="K5" s="7">
        <f>G5*J5</f>
      </c>
    </row>
    <row r="6" spans="1:11" x14ac:dyDescent="0.25">
      <c r="A6" s="8" t="s">
        <v>16</v>
      </c>
      <c r="B6" s="8" t="s">
        <v>17</v>
      </c>
      <c r="C6" s="8" t="s">
        <v>18</v>
      </c>
      <c r="D6" s="9">
        <v>74</v>
      </c>
      <c r="E6" s="9">
        <v>31</v>
      </c>
      <c r="F6" s="9">
        <v>0</v>
      </c>
      <c r="G6" s="9">
        <f>D6+E6-F6</f>
      </c>
      <c r="H6" s="9">
        <v>15</v>
      </c>
      <c r="I6" s="10">
        <f>IF(G6&lt;=H6,"⚠ REPONER","OK")</f>
      </c>
      <c r="J6" s="11">
        <v>31.5</v>
      </c>
      <c r="K6" s="11">
        <f>G6*J6</f>
      </c>
    </row>
    <row r="7" spans="1:11" x14ac:dyDescent="0.25">
      <c r="A7" s="4" t="s">
        <v>19</v>
      </c>
      <c r="B7" s="4" t="s">
        <v>20</v>
      </c>
      <c r="C7" s="4" t="s">
        <v>21</v>
      </c>
      <c r="D7" s="5">
        <v>40</v>
      </c>
      <c r="E7" s="5">
        <v>33</v>
      </c>
      <c r="F7" s="5">
        <v>51</v>
      </c>
      <c r="G7" s="5">
        <f>D7+E7-F7</f>
      </c>
      <c r="H7" s="5">
        <v>15</v>
      </c>
      <c r="I7" s="6">
        <f>IF(G7&lt;=H7,"⚠ REPONER","OK")</f>
      </c>
      <c r="J7" s="7">
        <v>37.2</v>
      </c>
      <c r="K7" s="7">
        <f>G7*J7</f>
      </c>
    </row>
    <row r="8" spans="1:11" x14ac:dyDescent="0.25">
      <c r="A8" s="8" t="s">
        <v>22</v>
      </c>
      <c r="B8" s="8" t="s">
        <v>23</v>
      </c>
      <c r="C8" s="8" t="s">
        <v>24</v>
      </c>
      <c r="D8" s="9">
        <v>90</v>
      </c>
      <c r="E8" s="9">
        <v>2</v>
      </c>
      <c r="F8" s="9">
        <v>5</v>
      </c>
      <c r="G8" s="9">
        <f>D8+E8-F8</f>
      </c>
      <c r="H8" s="9">
        <v>15</v>
      </c>
      <c r="I8" s="10">
        <f>IF(G8&lt;=H8,"⚠ REPONER","OK")</f>
      </c>
      <c r="J8" s="11">
        <v>41.7</v>
      </c>
      <c r="K8" s="11">
        <f>G8*J8</f>
      </c>
    </row>
    <row r="9" spans="1:11" x14ac:dyDescent="0.25">
      <c r="A9" s="4" t="s">
        <v>25</v>
      </c>
      <c r="B9" s="4" t="s">
        <v>26</v>
      </c>
      <c r="C9" s="4" t="s">
        <v>15</v>
      </c>
      <c r="D9" s="5">
        <v>30</v>
      </c>
      <c r="E9" s="5">
        <v>36</v>
      </c>
      <c r="F9" s="5">
        <v>57</v>
      </c>
      <c r="G9" s="5">
        <f>D9+E9-F9</f>
      </c>
      <c r="H9" s="5">
        <v>15</v>
      </c>
      <c r="I9" s="6">
        <f>IF(G9&lt;=H9,"⚠ REPONER","OK")</f>
      </c>
      <c r="J9" s="7">
        <v>17.5</v>
      </c>
      <c r="K9" s="7">
        <f>G9*J9</f>
      </c>
    </row>
    <row r="10" spans="1:11" x14ac:dyDescent="0.25">
      <c r="A10" s="8" t="s">
        <v>27</v>
      </c>
      <c r="B10" s="8" t="s">
        <v>28</v>
      </c>
      <c r="C10" s="8" t="s">
        <v>18</v>
      </c>
      <c r="D10" s="9">
        <v>24</v>
      </c>
      <c r="E10" s="9">
        <v>22</v>
      </c>
      <c r="F10" s="9">
        <v>57</v>
      </c>
      <c r="G10" s="9">
        <f>D10+E10-F10</f>
      </c>
      <c r="H10" s="9">
        <v>15</v>
      </c>
      <c r="I10" s="10">
        <f>IF(G10&lt;=H10,"⚠ REPONER","OK")</f>
      </c>
      <c r="J10" s="11">
        <v>33.1</v>
      </c>
      <c r="K10" s="11">
        <f>G10*J10</f>
      </c>
    </row>
    <row r="11" spans="1:11" x14ac:dyDescent="0.25">
      <c r="A11" s="4" t="s">
        <v>29</v>
      </c>
      <c r="B11" s="4" t="s">
        <v>30</v>
      </c>
      <c r="C11" s="4" t="s">
        <v>21</v>
      </c>
      <c r="D11" s="5">
        <v>43</v>
      </c>
      <c r="E11" s="5">
        <v>38</v>
      </c>
      <c r="F11" s="5">
        <v>5</v>
      </c>
      <c r="G11" s="5">
        <f>D11+E11-F11</f>
      </c>
      <c r="H11" s="5">
        <v>15</v>
      </c>
      <c r="I11" s="6">
        <f>IF(G11&lt;=H11,"⚠ REPONER","OK")</f>
      </c>
      <c r="J11" s="7">
        <v>44.6</v>
      </c>
      <c r="K11" s="7">
        <f>G11*J11</f>
      </c>
    </row>
    <row r="12" spans="1:11" x14ac:dyDescent="0.25">
      <c r="A12" s="8" t="s">
        <v>31</v>
      </c>
      <c r="B12" s="8" t="s">
        <v>32</v>
      </c>
      <c r="C12" s="8" t="s">
        <v>24</v>
      </c>
      <c r="D12" s="9">
        <v>28</v>
      </c>
      <c r="E12" s="9">
        <v>6</v>
      </c>
      <c r="F12" s="9">
        <v>45</v>
      </c>
      <c r="G12" s="9">
        <f>D12+E12-F12</f>
      </c>
      <c r="H12" s="9">
        <v>15</v>
      </c>
      <c r="I12" s="10">
        <f>IF(G12&lt;=H12,"⚠ REPONER","OK")</f>
      </c>
      <c r="J12" s="11">
        <v>29.9</v>
      </c>
      <c r="K12" s="11">
        <f>G12*J12</f>
      </c>
    </row>
    <row r="13" spans="1:11" x14ac:dyDescent="0.25">
      <c r="A13" s="4" t="s">
        <v>33</v>
      </c>
      <c r="B13" s="4" t="s">
        <v>33</v>
      </c>
      <c r="C13" s="4" t="s">
        <v>33</v>
      </c>
      <c r="D13" s="4" t="s">
        <v>33</v>
      </c>
      <c r="E13" s="4" t="s">
        <v>33</v>
      </c>
      <c r="F13" s="4" t="s">
        <v>33</v>
      </c>
      <c r="G13" s="4" t="s">
        <v>33</v>
      </c>
      <c r="H13" s="4" t="s">
        <v>33</v>
      </c>
      <c r="I13" s="4" t="s">
        <v>33</v>
      </c>
      <c r="J13" s="4" t="s">
        <v>34</v>
      </c>
      <c r="K13" s="7">
        <f>SUM(K5:K12)</f>
      </c>
    </row>
  </sheetData>
  <mergeCells count="2">
    <mergeCell ref="A1:L1"/>
    <mergeCell ref="A2:L2"/>
  </mergeCells>
  <conditionalFormatting sqref="I5:I12">
    <cfRule type="cellIs" dxfId="0" priority="1" operator="equal">
      <formula>"⚠ REPONER"</formula>
    </cfRule>
    <cfRule type="cellIs" dxfId="1" priority="2" operator="equal">
      <formula>"OK"</formula>
    </cfRule>
  </conditionalFormatting>
  <conditionalFormatting sqref="K5:K12">
    <cfRule type="dataBar" priority="3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{EDA622AF-7E53-46EB-B1E5-EF9E152C1250}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DA622AF-7E53-46EB-B1E5-EF9E152C1250}">
            <x14:dataBar minLength="0" maxLength="100">
              <x14:cfvo type="min"/>
              <x14:cfvo type="max"/>
            </x14:dataBar>
          </x14:cfRule>
          <xm:sqref>K5:K12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workbookViewId="0" showGridLines="0"/>
  </sheetViews>
  <sheetFormatPr defaultRowHeight="15" outlineLevelRow="0" outlineLevelCol="0" x14ac:dyDescent="55"/>
  <cols>
    <col min="1" max="2" width="12" customWidth="1"/>
    <col min="3" max="3" width="30" customWidth="1"/>
    <col min="4" max="4" width="10" customWidth="1"/>
    <col min="5" max="5" width="30" customWidth="1"/>
  </cols>
  <sheetData>
    <row r="1" ht="32" customHeight="1" spans="1:6" x14ac:dyDescent="0.25">
      <c r="A1" s="1" t="s">
        <v>35</v>
      </c>
      <c r="B1" s="1"/>
      <c r="C1" s="1"/>
      <c r="D1" s="1"/>
      <c r="E1" s="1"/>
      <c r="F1" s="1"/>
    </row>
    <row r="2" ht="18" customHeight="1" spans="1:6" x14ac:dyDescent="0.25">
      <c r="A2" s="2" t="s">
        <v>36</v>
      </c>
      <c r="B2" s="2"/>
      <c r="C2" s="2"/>
      <c r="D2" s="2"/>
      <c r="E2" s="2"/>
      <c r="F2" s="2"/>
    </row>
    <row r="4" ht="22" customHeight="1" spans="1:5" x14ac:dyDescent="0.25">
      <c r="A4" s="3" t="s">
        <v>37</v>
      </c>
      <c r="B4" s="3" t="s">
        <v>38</v>
      </c>
      <c r="C4" s="3" t="s">
        <v>3</v>
      </c>
      <c r="D4" s="3" t="s">
        <v>39</v>
      </c>
      <c r="E4" s="3" t="s">
        <v>40</v>
      </c>
    </row>
    <row r="5" spans="1:5" x14ac:dyDescent="0.25">
      <c r="A5" s="12">
        <v>46207</v>
      </c>
      <c r="B5" s="4" t="s">
        <v>41</v>
      </c>
      <c r="C5" s="4" t="s">
        <v>30</v>
      </c>
      <c r="D5" s="5">
        <v>7</v>
      </c>
      <c r="E5" s="4" t="s">
        <v>33</v>
      </c>
    </row>
    <row r="6" spans="1:5" x14ac:dyDescent="0.25">
      <c r="A6" s="13">
        <v>46055</v>
      </c>
      <c r="B6" s="8" t="s">
        <v>42</v>
      </c>
      <c r="C6" s="8" t="s">
        <v>20</v>
      </c>
      <c r="D6" s="9">
        <v>11</v>
      </c>
      <c r="E6" s="8" t="s">
        <v>33</v>
      </c>
    </row>
    <row r="7" spans="1:5" x14ac:dyDescent="0.25">
      <c r="A7" s="12">
        <v>46025</v>
      </c>
      <c r="B7" s="4" t="s">
        <v>42</v>
      </c>
      <c r="C7" s="4" t="s">
        <v>14</v>
      </c>
      <c r="D7" s="5">
        <v>15</v>
      </c>
      <c r="E7" s="4" t="s">
        <v>33</v>
      </c>
    </row>
    <row r="8" spans="1:5" x14ac:dyDescent="0.25">
      <c r="A8" s="13">
        <v>46163</v>
      </c>
      <c r="B8" s="8" t="s">
        <v>41</v>
      </c>
      <c r="C8" s="8" t="s">
        <v>26</v>
      </c>
      <c r="D8" s="9">
        <v>20</v>
      </c>
      <c r="E8" s="8" t="s">
        <v>33</v>
      </c>
    </row>
    <row r="9" spans="1:5" x14ac:dyDescent="0.25">
      <c r="A9" s="12">
        <v>46196</v>
      </c>
      <c r="B9" s="4" t="s">
        <v>41</v>
      </c>
      <c r="C9" s="4" t="s">
        <v>20</v>
      </c>
      <c r="D9" s="5">
        <v>15</v>
      </c>
      <c r="E9" s="4" t="s">
        <v>33</v>
      </c>
    </row>
    <row r="10" spans="1:5" x14ac:dyDescent="0.25">
      <c r="A10" s="13">
        <v>46164</v>
      </c>
      <c r="B10" s="8" t="s">
        <v>42</v>
      </c>
      <c r="C10" s="8" t="s">
        <v>23</v>
      </c>
      <c r="D10" s="9">
        <v>7</v>
      </c>
      <c r="E10" s="8" t="s">
        <v>33</v>
      </c>
    </row>
    <row r="11" spans="1:5" x14ac:dyDescent="0.25">
      <c r="A11" s="12">
        <v>46027</v>
      </c>
      <c r="B11" s="4" t="s">
        <v>42</v>
      </c>
      <c r="C11" s="4" t="s">
        <v>26</v>
      </c>
      <c r="D11" s="5">
        <v>7</v>
      </c>
      <c r="E11" s="4" t="s">
        <v>33</v>
      </c>
    </row>
    <row r="12" spans="1:5" x14ac:dyDescent="0.25">
      <c r="A12" s="13">
        <v>46138</v>
      </c>
      <c r="B12" s="8" t="s">
        <v>41</v>
      </c>
      <c r="C12" s="8" t="s">
        <v>14</v>
      </c>
      <c r="D12" s="9">
        <v>8</v>
      </c>
      <c r="E12" s="8" t="s">
        <v>33</v>
      </c>
    </row>
    <row r="13" spans="1:5" x14ac:dyDescent="0.25">
      <c r="A13" s="12">
        <v>46125</v>
      </c>
      <c r="B13" s="4" t="s">
        <v>41</v>
      </c>
      <c r="C13" s="4" t="s">
        <v>20</v>
      </c>
      <c r="D13" s="5">
        <v>10</v>
      </c>
      <c r="E13" s="4" t="s">
        <v>33</v>
      </c>
    </row>
    <row r="14" spans="1:5" x14ac:dyDescent="0.25">
      <c r="A14" s="13">
        <v>46195</v>
      </c>
      <c r="B14" s="8" t="s">
        <v>41</v>
      </c>
      <c r="C14" s="8" t="s">
        <v>30</v>
      </c>
      <c r="D14" s="9">
        <v>5</v>
      </c>
      <c r="E14" s="8" t="s">
        <v>33</v>
      </c>
    </row>
    <row r="15" spans="1:5" x14ac:dyDescent="0.25">
      <c r="A15" s="12">
        <v>46055</v>
      </c>
      <c r="B15" s="4" t="s">
        <v>41</v>
      </c>
      <c r="C15" s="4" t="s">
        <v>23</v>
      </c>
      <c r="D15" s="5">
        <v>9</v>
      </c>
      <c r="E15" s="4" t="s">
        <v>33</v>
      </c>
    </row>
    <row r="16" spans="1:5" x14ac:dyDescent="0.25">
      <c r="A16" s="13">
        <v>46185</v>
      </c>
      <c r="B16" s="8" t="s">
        <v>42</v>
      </c>
      <c r="C16" s="8" t="s">
        <v>20</v>
      </c>
      <c r="D16" s="9">
        <v>7</v>
      </c>
      <c r="E16" s="8" t="s">
        <v>33</v>
      </c>
    </row>
    <row r="17" spans="1:5" x14ac:dyDescent="0.25">
      <c r="A17" s="12">
        <v>46122</v>
      </c>
      <c r="B17" s="4" t="s">
        <v>41</v>
      </c>
      <c r="C17" s="4" t="s">
        <v>28</v>
      </c>
      <c r="D17" s="5">
        <v>10</v>
      </c>
      <c r="E17" s="4" t="s">
        <v>33</v>
      </c>
    </row>
    <row r="18" spans="1:5" x14ac:dyDescent="0.25">
      <c r="A18" s="13">
        <v>46206</v>
      </c>
      <c r="B18" s="8" t="s">
        <v>42</v>
      </c>
      <c r="C18" s="8" t="s">
        <v>26</v>
      </c>
      <c r="D18" s="9">
        <v>2</v>
      </c>
      <c r="E18" s="8" t="s">
        <v>33</v>
      </c>
    </row>
    <row r="19" spans="1:5" x14ac:dyDescent="0.25">
      <c r="A19" s="12">
        <v>46195</v>
      </c>
      <c r="B19" s="4" t="s">
        <v>42</v>
      </c>
      <c r="C19" s="4" t="s">
        <v>30</v>
      </c>
      <c r="D19" s="5">
        <v>11</v>
      </c>
      <c r="E19" s="4" t="s">
        <v>33</v>
      </c>
    </row>
    <row r="20" spans="1:5" x14ac:dyDescent="0.25">
      <c r="A20" s="13">
        <v>46108</v>
      </c>
      <c r="B20" s="8" t="s">
        <v>41</v>
      </c>
      <c r="C20" s="8" t="s">
        <v>28</v>
      </c>
      <c r="D20" s="9">
        <v>16</v>
      </c>
      <c r="E20" s="8" t="s">
        <v>33</v>
      </c>
    </row>
    <row r="21" spans="1:5" x14ac:dyDescent="0.25">
      <c r="A21" s="12">
        <v>46098</v>
      </c>
      <c r="B21" s="4" t="s">
        <v>41</v>
      </c>
      <c r="C21" s="4" t="s">
        <v>30</v>
      </c>
      <c r="D21" s="5">
        <v>10</v>
      </c>
      <c r="E21" s="4" t="s">
        <v>33</v>
      </c>
    </row>
    <row r="22" spans="1:5" x14ac:dyDescent="0.25">
      <c r="A22" s="13">
        <v>46039</v>
      </c>
      <c r="B22" s="8" t="s">
        <v>42</v>
      </c>
      <c r="C22" s="8" t="s">
        <v>28</v>
      </c>
      <c r="D22" s="9">
        <v>18</v>
      </c>
      <c r="E22" s="8" t="s">
        <v>33</v>
      </c>
    </row>
    <row r="26" spans="1:1" x14ac:dyDescent="0.25">
      <c r="A26" s="14" t="s">
        <v>43</v>
      </c>
    </row>
    <row r="28" spans="1:6" x14ac:dyDescent="0.25">
      <c r="A28" s="15" t="s">
        <v>44</v>
      </c>
      <c r="B28" s="15"/>
      <c r="C28" s="15"/>
      <c r="D28" s="15"/>
      <c r="E28" s="15"/>
      <c r="F28" s="15"/>
    </row>
  </sheetData>
  <mergeCells count="3">
    <mergeCell ref="A1:F1"/>
    <mergeCell ref="A2:F2"/>
    <mergeCell ref="A28:F28"/>
  </mergeCells>
  <conditionalFormatting sqref="B5:B30">
    <cfRule type="cellIs" dxfId="2" priority="1" operator="equal">
      <formula>"Salida"</formula>
    </cfRule>
    <cfRule type="cellIs" dxfId="3" priority="2" operator="equal">
      <formula>"Entrada"</formula>
    </cfRule>
  </conditionalFormatting>
  <dataValidations count="1">
    <dataValidation type="list" allowBlank="1" sqref="B5">
      <formula1>"Entrada,Salida"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Stock</vt:lpstr>
      <vt:lpstr>Movimientos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2026-08-23T16:46:33Z</dcterms:created>
  <dcterms:modified xsi:type="dcterms:W3CDTF">2026-08-23T16:46:33Z</dcterms:modified>
</cp:coreProperties>
</file>