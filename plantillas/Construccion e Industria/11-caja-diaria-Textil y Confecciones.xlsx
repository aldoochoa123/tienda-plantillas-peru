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<sst xmlns="http://schemas.openxmlformats.org/spreadsheetml/2006/main" count="129" uniqueCount="89">
  <si>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TEXTIL Y CONFECCIONES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</si>
  <si>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</si>
  <si>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</si>
  <si>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</si>
  <si>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</si>
  <si>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</si>
  <si>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</si>
  <si>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</si>
  <si>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</si>
  <si>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</si>
  <si>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</si>
  <si>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</si>
  <si>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Confección por pedido</t>
  </si>
  <si>
    <t>08:30</t>
  </si>
  <si>
    <t>B001-10001</t>
  </si>
  <si>
    <t>Yape</t>
  </si>
  <si>
    <t>Ropa deportiva</t>
  </si>
  <si>
    <t>09:15</t>
  </si>
  <si>
    <t>B001-10002</t>
  </si>
  <si>
    <t>Plin</t>
  </si>
  <si>
    <t>Pijamas</t>
  </si>
  <si>
    <t>09:45</t>
  </si>
  <si>
    <t>B001-10003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</si>
  <si>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</si>
  <si>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</si>
  <si>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</si>
  <si>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</si>
  <si>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</si>
  <si>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</si>
  <si>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</si>
  <si>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</si>
  <si>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</si>
  <si>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</si>
  <si>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</si>
  <si>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</si>
  <si>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Ropa de niños</t>
  </si>
  <si>
    <t>13:30</t>
  </si>
  <si>
    <t>B001-10009</t>
  </si>
  <si>
    <t>14:10</t>
  </si>
  <si>
    <t>B001-10010</t>
  </si>
  <si>
    <t>15:00</t>
  </si>
  <si>
    <t>B001-10011</t>
  </si>
  <si>
    <t>Casacas institucionales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</si>
  <si>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</si>
  <si>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</si>
  <si>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</si>
  <si>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</si>
  <si>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</si>
  <si>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</si>
  <si>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</si>
  <si>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</si>
  <si>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</si>
  <si>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</si>
  <si>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Mandiles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</si>
  <si>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</si>
  <si>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</si>
  <si>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</si>
  <si>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</si>
  <si>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</si>
  <si>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</si>
  <si>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</si>
  <si>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</si>
  <si>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</si>
  <si>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</si>
  <si>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</si>
  <si>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</si>
  <si>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</si>
  <si>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</si>
  <si>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</si>
  <si>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</si>
  <si>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</si>
  <si>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</si>
  <si>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</si>
  <si>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</si>
  <si>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</si>
  <si>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</si>
  <si>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</si>
  <si>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TEXTIL Y CONFECCIONES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</si>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</sst>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46.25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42.73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12.77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31.22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20</v>
      </c>
      <c r="E9" s="5">
        <v>39.76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12</v>
      </c>
      <c r="E10" s="7">
        <v>57.47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16</v>
      </c>
      <c r="E11" s="5">
        <v>28.24</v>
      </c>
      <c r="F11" s="5">
        <f>ROUND(E11/1.18*0.18,2)</f>
      </c>
      <c r="G11" s="5">
        <f>E11</f>
      </c>
    </row>
    <row r="12" spans="1:7" x14ac:dyDescent="0.25">
      <c r="A12" s="6" t="s">
        <v>30</v>
      </c>
      <c r="B12" s="6" t="s">
        <v>31</v>
      </c>
      <c r="C12" s="6" t="s">
        <v>11</v>
      </c>
      <c r="D12" s="6" t="s">
        <v>20</v>
      </c>
      <c r="E12" s="7">
        <v>9.37</v>
      </c>
      <c r="F12" s="7">
        <f>ROUND(E12/1.18*0.18,2)</f>
      </c>
      <c r="G12" s="7">
        <f>E12</f>
      </c>
    </row>
    <row r="13" spans="1:7" x14ac:dyDescent="0.25">
      <c r="A13" s="4" t="s">
        <v>32</v>
      </c>
      <c r="B13" s="4" t="s">
        <v>33</v>
      </c>
      <c r="C13" s="4" t="s">
        <v>34</v>
      </c>
      <c r="D13" s="4" t="s">
        <v>35</v>
      </c>
      <c r="E13" s="5">
        <v>54.68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16</v>
      </c>
      <c r="E14" s="7">
        <v>36.85</v>
      </c>
      <c r="F14" s="7">
        <f>ROUND(E14/1.18*0.18,2)</f>
      </c>
      <c r="G14" s="7">
        <f>E14</f>
      </c>
    </row>
    <row r="15" spans="1:7" x14ac:dyDescent="0.25">
      <c r="A15" s="4" t="s">
        <v>38</v>
      </c>
      <c r="B15" s="4" t="s">
        <v>39</v>
      </c>
      <c r="C15" s="4" t="s">
        <v>11</v>
      </c>
      <c r="D15" s="4" t="s">
        <v>16</v>
      </c>
      <c r="E15" s="5">
        <v>28.26</v>
      </c>
      <c r="F15" s="5">
        <f>ROUND(E15/1.18*0.18,2)</f>
      </c>
      <c r="G15" s="5">
        <f>E15</f>
      </c>
    </row>
    <row r="16" spans="1:7" x14ac:dyDescent="0.25">
      <c r="A16" s="6" t="s">
        <v>40</v>
      </c>
      <c r="B16" s="6" t="s">
        <v>41</v>
      </c>
      <c r="C16" s="6" t="s">
        <v>15</v>
      </c>
      <c r="D16" s="6" t="s">
        <v>42</v>
      </c>
      <c r="E16" s="7">
        <v>57.48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42</v>
      </c>
      <c r="E17" s="5">
        <v>36.46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42</v>
      </c>
      <c r="E18" s="7">
        <v>48.36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42</v>
      </c>
      <c r="E19" s="5">
        <v>11.23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20</v>
      </c>
      <c r="E20" s="7">
        <v>12.08</v>
      </c>
      <c r="F20" s="7">
        <f>ROUND(E20/1.18*0.18,2)</f>
      </c>
      <c r="G20" s="7">
        <f>E20</f>
      </c>
    </row>
    <row r="21" spans="1:7" x14ac:dyDescent="0.25">
      <c r="A21" s="4" t="s">
        <v>51</v>
      </c>
      <c r="B21" s="4" t="s">
        <v>52</v>
      </c>
      <c r="C21" s="4" t="s">
        <v>11</v>
      </c>
      <c r="D21" s="4" t="s">
        <v>53</v>
      </c>
      <c r="E21" s="5">
        <v>38.71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35</v>
      </c>
      <c r="E22" s="7">
        <v>43.06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34</v>
      </c>
      <c r="D23" s="4" t="s">
        <v>20</v>
      </c>
      <c r="E23" s="5">
        <v>11.67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20</v>
      </c>
      <c r="E24" s="7">
        <v>41.26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4</v>
      </c>
      <c r="C5" s="5">
        <f>200*B5</f>
      </c>
    </row>
    <row r="6" spans="1:3" x14ac:dyDescent="0.25">
      <c r="A6" s="6" t="s">
        <v>66</v>
      </c>
      <c r="B6" s="9">
        <v>3</v>
      </c>
      <c r="C6" s="7">
        <f>100*B6</f>
      </c>
    </row>
    <row r="7" spans="1:3" x14ac:dyDescent="0.25">
      <c r="A7" s="4" t="s">
        <v>67</v>
      </c>
      <c r="B7" s="8">
        <v>4</v>
      </c>
      <c r="C7" s="5">
        <f>50*B7</f>
      </c>
    </row>
    <row r="8" spans="1:3" x14ac:dyDescent="0.25">
      <c r="A8" s="6" t="s">
        <v>68</v>
      </c>
      <c r="B8" s="9">
        <v>19</v>
      </c>
      <c r="C8" s="7">
        <f>20*B8</f>
      </c>
    </row>
    <row r="9" spans="1:3" x14ac:dyDescent="0.25">
      <c r="A9" s="4" t="s">
        <v>69</v>
      </c>
      <c r="B9" s="8">
        <v>4</v>
      </c>
      <c r="C9" s="5">
        <f>10*B9</f>
      </c>
    </row>
    <row r="10" spans="1:3" x14ac:dyDescent="0.25">
      <c r="A10" s="6" t="s">
        <v>70</v>
      </c>
      <c r="B10" s="9">
        <v>9</v>
      </c>
      <c r="C10" s="7">
        <f>5*B10</f>
      </c>
    </row>
    <row r="11" spans="1:3" x14ac:dyDescent="0.25">
      <c r="A11" s="4" t="s">
        <v>71</v>
      </c>
      <c r="B11" s="8">
        <v>2</v>
      </c>
      <c r="C11" s="5">
        <f>2*B11</f>
      </c>
    </row>
    <row r="12" spans="1:3" x14ac:dyDescent="0.25">
      <c r="A12" s="6" t="s">
        <v>72</v>
      </c>
      <c r="B12" s="9">
        <v>10</v>
      </c>
      <c r="C12" s="7">
        <f>1*B12</f>
      </c>
    </row>
    <row r="13" spans="1:3" x14ac:dyDescent="0.25">
      <c r="A13" s="4" t="s">
        <v>73</v>
      </c>
      <c r="B13" s="8">
        <v>10</v>
      </c>
      <c r="C13" s="5">
        <f>0.5*B13</f>
      </c>
    </row>
    <row r="14" spans="1:3" x14ac:dyDescent="0.25">
      <c r="A14" s="6" t="s">
        <v>74</v>
      </c>
      <c r="B14" s="9">
        <v>0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34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{4A31B6DC-111C-4678-B21B-678E9852A114}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1B6DC-111C-4678-B21B-678E9852A114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