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mortización" state="visible" r:id="rId4"/>
  </sheets>
  <calcPr calcId="171027"/>
</workbook>
</file>

<file path=xl/sharedStrings.xml><?xml version="1.0" encoding="utf-8"?>
<sst xmlns="http://schemas.openxmlformats.org/spreadsheetml/2006/main" count="22" uniqueCount="20">
  <si>
    <t>CUADRO DE AMORTIZACIÓN — GASFITERÍA</t>
  </si>
  <si>
    <t>Sistema Francés (cuota fija) · Simula tu préstamo</t>
  </si>
  <si>
    <t>📝 DATOS DEL PRÉSTAMO</t>
  </si>
  <si>
    <t>Monto del préstamo (S/)</t>
  </si>
  <si>
    <t>Tasa de interés mensual (%)</t>
  </si>
  <si>
    <t>Número de cuotas (meses)</t>
  </si>
  <si>
    <t>Cuota fija mensual (S/)</t>
  </si>
  <si>
    <t>Total a pagar (S/)</t>
  </si>
  <si>
    <t>Total intereses (S/)</t>
  </si>
  <si>
    <t>📅 CUADRO DE AMORTIZACIÓN MENSUAL</t>
  </si>
  <si>
    <t>N°</t>
  </si>
  <si>
    <t>Saldo Inicial</t>
  </si>
  <si>
    <t>Capital</t>
  </si>
  <si>
    <t>Interés</t>
  </si>
  <si>
    <t>Cuota</t>
  </si>
  <si>
    <t>Saldo Final</t>
  </si>
  <si>
    <t>Acum. Capital</t>
  </si>
  <si>
    <t>TOTAL</t>
  </si>
  <si>
    <t/>
  </si>
  <si>
    <t>Gasfitería · Cuadro de Amortización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</si>
</sst>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0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workbookViewId="0" showGridLines="0"/>
  </sheetViews>
  <sheetFormatPr defaultRowHeight="15" outlineLevelRow="0" outlineLevelCol="0" x14ac:dyDescent="55"/>
  <cols>
    <col min="1" max="1" width="8" customWidth="1"/>
    <col min="2" max="7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50000</v>
      </c>
    </row>
    <row r="6" spans="1:2" x14ac:dyDescent="0.25">
      <c r="A6" s="4" t="s">
        <v>4</v>
      </c>
      <c r="B6" s="6">
        <v>1.5</v>
      </c>
    </row>
    <row r="7" spans="1:2" x14ac:dyDescent="0.25">
      <c r="A7" s="4" t="s">
        <v>5</v>
      </c>
      <c r="B7" s="7">
        <v>24</v>
      </c>
    </row>
    <row r="8" spans="1:2" x14ac:dyDescent="0.25">
      <c r="A8" s="8" t="s">
        <v>6</v>
      </c>
      <c r="B8" s="9">
        <f>ROUND(B5*(B6*(1+B6)^B7)/((1+B6)^B7-1),2)</f>
      </c>
    </row>
    <row r="9" spans="1:2" x14ac:dyDescent="0.25">
      <c r="A9" s="4" t="s">
        <v>7</v>
      </c>
      <c r="B9" s="10">
        <f>B8*B7</f>
      </c>
    </row>
    <row r="10" spans="1:2" x14ac:dyDescent="0.25">
      <c r="A10" s="4" t="s">
        <v>8</v>
      </c>
      <c r="B10" s="10">
        <f>B9-B5</f>
      </c>
    </row>
    <row r="12" spans="1:7" x14ac:dyDescent="0.25">
      <c r="A12" s="11" t="s">
        <v>9</v>
      </c>
      <c r="B12" s="11"/>
      <c r="C12" s="11"/>
      <c r="D12" s="11"/>
      <c r="E12" s="11"/>
      <c r="F12" s="11"/>
      <c r="G12" s="11"/>
    </row>
    <row r="13" ht="22" customHeight="1" spans="1:7" x14ac:dyDescent="0.25">
      <c r="A13" s="12" t="s">
        <v>10</v>
      </c>
      <c r="B13" s="12" t="s">
        <v>11</v>
      </c>
      <c r="C13" s="12" t="s">
        <v>12</v>
      </c>
      <c r="D13" s="12" t="s">
        <v>13</v>
      </c>
      <c r="E13" s="12" t="s">
        <v>14</v>
      </c>
      <c r="F13" s="12" t="s">
        <v>15</v>
      </c>
      <c r="G13" s="12" t="s">
        <v>16</v>
      </c>
    </row>
    <row r="14" spans="1:7" x14ac:dyDescent="0.25">
      <c r="A14" s="13">
        <v>1</v>
      </c>
      <c r="B14" s="14">
        <f>B5</f>
      </c>
      <c r="C14" s="14">
        <f>E14-D14</f>
      </c>
      <c r="D14" s="14">
        <f>B14*B$6</f>
      </c>
      <c r="E14" s="14">
        <f>$B$8</f>
      </c>
      <c r="F14" s="14">
        <f>B14-C14</f>
      </c>
      <c r="G14" s="14">
        <f>C14</f>
      </c>
    </row>
    <row r="15" spans="1:7" x14ac:dyDescent="0.25">
      <c r="A15" s="15">
        <v>2</v>
      </c>
      <c r="B15" s="10">
        <f>G14</f>
      </c>
      <c r="C15" s="10">
        <f>E15-D15</f>
      </c>
      <c r="D15" s="10">
        <f>B15*B$6</f>
      </c>
      <c r="E15" s="10">
        <f>$B$8</f>
      </c>
      <c r="F15" s="10">
        <f>B15-C15</f>
      </c>
      <c r="G15" s="10">
        <f>G14+C15</f>
      </c>
    </row>
    <row r="16" spans="1:7" x14ac:dyDescent="0.25">
      <c r="A16" s="13">
        <v>3</v>
      </c>
      <c r="B16" s="14">
        <f>G15</f>
      </c>
      <c r="C16" s="14">
        <f>E16-D16</f>
      </c>
      <c r="D16" s="14">
        <f>B16*B$6</f>
      </c>
      <c r="E16" s="14">
        <f>$B$8</f>
      </c>
      <c r="F16" s="14">
        <f>B16-C16</f>
      </c>
      <c r="G16" s="14">
        <f>G15+C16</f>
      </c>
    </row>
    <row r="17" spans="1:7" x14ac:dyDescent="0.25">
      <c r="A17" s="15">
        <v>4</v>
      </c>
      <c r="B17" s="10">
        <f>G16</f>
      </c>
      <c r="C17" s="10">
        <f>E17-D17</f>
      </c>
      <c r="D17" s="10">
        <f>B17*B$6</f>
      </c>
      <c r="E17" s="10">
        <f>$B$8</f>
      </c>
      <c r="F17" s="10">
        <f>B17-C17</f>
      </c>
      <c r="G17" s="10">
        <f>G16+C17</f>
      </c>
    </row>
    <row r="18" spans="1:7" x14ac:dyDescent="0.25">
      <c r="A18" s="13">
        <v>5</v>
      </c>
      <c r="B18" s="14">
        <f>G17</f>
      </c>
      <c r="C18" s="14">
        <f>E18-D18</f>
      </c>
      <c r="D18" s="14">
        <f>B18*B$6</f>
      </c>
      <c r="E18" s="14">
        <f>$B$8</f>
      </c>
      <c r="F18" s="14">
        <f>B18-C18</f>
      </c>
      <c r="G18" s="14">
        <f>G17+C18</f>
      </c>
    </row>
    <row r="19" spans="1:7" x14ac:dyDescent="0.25">
      <c r="A19" s="15">
        <v>6</v>
      </c>
      <c r="B19" s="10">
        <f>G18</f>
      </c>
      <c r="C19" s="10">
        <f>E19-D19</f>
      </c>
      <c r="D19" s="10">
        <f>B19*B$6</f>
      </c>
      <c r="E19" s="10">
        <f>$B$8</f>
      </c>
      <c r="F19" s="10">
        <f>B19-C19</f>
      </c>
      <c r="G19" s="10">
        <f>G18+C19</f>
      </c>
    </row>
    <row r="20" spans="1:7" x14ac:dyDescent="0.25">
      <c r="A20" s="13">
        <v>7</v>
      </c>
      <c r="B20" s="14">
        <f>G19</f>
      </c>
      <c r="C20" s="14">
        <f>E20-D20</f>
      </c>
      <c r="D20" s="14">
        <f>B20*B$6</f>
      </c>
      <c r="E20" s="14">
        <f>$B$8</f>
      </c>
      <c r="F20" s="14">
        <f>B20-C20</f>
      </c>
      <c r="G20" s="14">
        <f>G19+C20</f>
      </c>
    </row>
    <row r="21" spans="1:7" x14ac:dyDescent="0.25">
      <c r="A21" s="15">
        <v>8</v>
      </c>
      <c r="B21" s="10">
        <f>G20</f>
      </c>
      <c r="C21" s="10">
        <f>E21-D21</f>
      </c>
      <c r="D21" s="10">
        <f>B21*B$6</f>
      </c>
      <c r="E21" s="10">
        <f>$B$8</f>
      </c>
      <c r="F21" s="10">
        <f>B21-C21</f>
      </c>
      <c r="G21" s="10">
        <f>G20+C21</f>
      </c>
    </row>
    <row r="22" spans="1:7" x14ac:dyDescent="0.25">
      <c r="A22" s="13">
        <v>9</v>
      </c>
      <c r="B22" s="14">
        <f>G21</f>
      </c>
      <c r="C22" s="14">
        <f>E22-D22</f>
      </c>
      <c r="D22" s="14">
        <f>B22*B$6</f>
      </c>
      <c r="E22" s="14">
        <f>$B$8</f>
      </c>
      <c r="F22" s="14">
        <f>B22-C22</f>
      </c>
      <c r="G22" s="14">
        <f>G21+C22</f>
      </c>
    </row>
    <row r="23" spans="1:7" x14ac:dyDescent="0.25">
      <c r="A23" s="15">
        <v>10</v>
      </c>
      <c r="B23" s="10">
        <f>G22</f>
      </c>
      <c r="C23" s="10">
        <f>E23-D23</f>
      </c>
      <c r="D23" s="10">
        <f>B23*B$6</f>
      </c>
      <c r="E23" s="10">
        <f>$B$8</f>
      </c>
      <c r="F23" s="10">
        <f>B23-C23</f>
      </c>
      <c r="G23" s="10">
        <f>G22+C23</f>
      </c>
    </row>
    <row r="24" spans="1:7" x14ac:dyDescent="0.25">
      <c r="A24" s="13">
        <v>11</v>
      </c>
      <c r="B24" s="14">
        <f>G23</f>
      </c>
      <c r="C24" s="14">
        <f>E24-D24</f>
      </c>
      <c r="D24" s="14">
        <f>B24*B$6</f>
      </c>
      <c r="E24" s="14">
        <f>$B$8</f>
      </c>
      <c r="F24" s="14">
        <f>B24-C24</f>
      </c>
      <c r="G24" s="14">
        <f>G23+C24</f>
      </c>
    </row>
    <row r="25" spans="1:7" x14ac:dyDescent="0.25">
      <c r="A25" s="15">
        <v>12</v>
      </c>
      <c r="B25" s="10">
        <f>G24</f>
      </c>
      <c r="C25" s="10">
        <f>E25-D25</f>
      </c>
      <c r="D25" s="10">
        <f>B25*B$6</f>
      </c>
      <c r="E25" s="10">
        <f>$B$8</f>
      </c>
      <c r="F25" s="10">
        <f>B25-C25</f>
      </c>
      <c r="G25" s="10">
        <f>G24+C25</f>
      </c>
    </row>
    <row r="26" spans="1:7" x14ac:dyDescent="0.25">
      <c r="A26" s="13">
        <v>13</v>
      </c>
      <c r="B26" s="14">
        <f>G25</f>
      </c>
      <c r="C26" s="14">
        <f>E26-D26</f>
      </c>
      <c r="D26" s="14">
        <f>B26*B$6</f>
      </c>
      <c r="E26" s="14">
        <f>$B$8</f>
      </c>
      <c r="F26" s="14">
        <f>B26-C26</f>
      </c>
      <c r="G26" s="14">
        <f>G25+C26</f>
      </c>
    </row>
    <row r="27" spans="1:7" x14ac:dyDescent="0.25">
      <c r="A27" s="15">
        <v>14</v>
      </c>
      <c r="B27" s="10">
        <f>G26</f>
      </c>
      <c r="C27" s="10">
        <f>E27-D27</f>
      </c>
      <c r="D27" s="10">
        <f>B27*B$6</f>
      </c>
      <c r="E27" s="10">
        <f>$B$8</f>
      </c>
      <c r="F27" s="10">
        <f>B27-C27</f>
      </c>
      <c r="G27" s="10">
        <f>G26+C27</f>
      </c>
    </row>
    <row r="28" spans="1:7" x14ac:dyDescent="0.25">
      <c r="A28" s="13">
        <v>15</v>
      </c>
      <c r="B28" s="14">
        <f>G27</f>
      </c>
      <c r="C28" s="14">
        <f>E28-D28</f>
      </c>
      <c r="D28" s="14">
        <f>B28*B$6</f>
      </c>
      <c r="E28" s="14">
        <f>$B$8</f>
      </c>
      <c r="F28" s="14">
        <f>B28-C28</f>
      </c>
      <c r="G28" s="14">
        <f>G27+C28</f>
      </c>
    </row>
    <row r="29" spans="1:7" x14ac:dyDescent="0.25">
      <c r="A29" s="15">
        <v>16</v>
      </c>
      <c r="B29" s="10">
        <f>G28</f>
      </c>
      <c r="C29" s="10">
        <f>E29-D29</f>
      </c>
      <c r="D29" s="10">
        <f>B29*B$6</f>
      </c>
      <c r="E29" s="10">
        <f>$B$8</f>
      </c>
      <c r="F29" s="10">
        <f>B29-C29</f>
      </c>
      <c r="G29" s="10">
        <f>G28+C29</f>
      </c>
    </row>
    <row r="30" spans="1:7" x14ac:dyDescent="0.25">
      <c r="A30" s="13">
        <v>17</v>
      </c>
      <c r="B30" s="14">
        <f>G29</f>
      </c>
      <c r="C30" s="14">
        <f>E30-D30</f>
      </c>
      <c r="D30" s="14">
        <f>B30*B$6</f>
      </c>
      <c r="E30" s="14">
        <f>$B$8</f>
      </c>
      <c r="F30" s="14">
        <f>B30-C30</f>
      </c>
      <c r="G30" s="14">
        <f>G29+C30</f>
      </c>
    </row>
    <row r="31" spans="1:7" x14ac:dyDescent="0.25">
      <c r="A31" s="15">
        <v>18</v>
      </c>
      <c r="B31" s="10">
        <f>G30</f>
      </c>
      <c r="C31" s="10">
        <f>E31-D31</f>
      </c>
      <c r="D31" s="10">
        <f>B31*B$6</f>
      </c>
      <c r="E31" s="10">
        <f>$B$8</f>
      </c>
      <c r="F31" s="10">
        <f>B31-C31</f>
      </c>
      <c r="G31" s="10">
        <f>G30+C31</f>
      </c>
    </row>
    <row r="32" spans="1:7" x14ac:dyDescent="0.25">
      <c r="A32" s="13">
        <v>19</v>
      </c>
      <c r="B32" s="14">
        <f>G31</f>
      </c>
      <c r="C32" s="14">
        <f>E32-D32</f>
      </c>
      <c r="D32" s="14">
        <f>B32*B$6</f>
      </c>
      <c r="E32" s="14">
        <f>$B$8</f>
      </c>
      <c r="F32" s="14">
        <f>B32-C32</f>
      </c>
      <c r="G32" s="14">
        <f>G31+C32</f>
      </c>
    </row>
    <row r="33" spans="1:7" x14ac:dyDescent="0.25">
      <c r="A33" s="15">
        <v>20</v>
      </c>
      <c r="B33" s="10">
        <f>G32</f>
      </c>
      <c r="C33" s="10">
        <f>E33-D33</f>
      </c>
      <c r="D33" s="10">
        <f>B33*B$6</f>
      </c>
      <c r="E33" s="10">
        <f>$B$8</f>
      </c>
      <c r="F33" s="10">
        <f>B33-C33</f>
      </c>
      <c r="G33" s="10">
        <f>G32+C33</f>
      </c>
    </row>
    <row r="34" spans="1:7" x14ac:dyDescent="0.25">
      <c r="A34" s="13">
        <v>21</v>
      </c>
      <c r="B34" s="14">
        <f>G33</f>
      </c>
      <c r="C34" s="14">
        <f>E34-D34</f>
      </c>
      <c r="D34" s="14">
        <f>B34*B$6</f>
      </c>
      <c r="E34" s="14">
        <f>$B$8</f>
      </c>
      <c r="F34" s="14">
        <f>B34-C34</f>
      </c>
      <c r="G34" s="14">
        <f>G33+C34</f>
      </c>
    </row>
    <row r="35" spans="1:7" x14ac:dyDescent="0.25">
      <c r="A35" s="15">
        <v>22</v>
      </c>
      <c r="B35" s="10">
        <f>G34</f>
      </c>
      <c r="C35" s="10">
        <f>E35-D35</f>
      </c>
      <c r="D35" s="10">
        <f>B35*B$6</f>
      </c>
      <c r="E35" s="10">
        <f>$B$8</f>
      </c>
      <c r="F35" s="10">
        <f>B35-C35</f>
      </c>
      <c r="G35" s="10">
        <f>G34+C35</f>
      </c>
    </row>
    <row r="36" spans="1:7" x14ac:dyDescent="0.25">
      <c r="A36" s="13">
        <v>23</v>
      </c>
      <c r="B36" s="14">
        <f>G35</f>
      </c>
      <c r="C36" s="14">
        <f>E36-D36</f>
      </c>
      <c r="D36" s="14">
        <f>B36*B$6</f>
      </c>
      <c r="E36" s="14">
        <f>$B$8</f>
      </c>
      <c r="F36" s="14">
        <f>B36-C36</f>
      </c>
      <c r="G36" s="14">
        <f>G35+C36</f>
      </c>
    </row>
    <row r="37" spans="1:7" x14ac:dyDescent="0.25">
      <c r="A37" s="15">
        <v>24</v>
      </c>
      <c r="B37" s="10">
        <f>G36</f>
      </c>
      <c r="C37" s="10">
        <f>E37-D37</f>
      </c>
      <c r="D37" s="10">
        <f>B37*B$6</f>
      </c>
      <c r="E37" s="10">
        <f>$B$8</f>
      </c>
      <c r="F37" s="10">
        <f>B37-C37</f>
      </c>
      <c r="G37" s="10">
        <f>G36+C37</f>
      </c>
    </row>
    <row r="38" spans="1:7" x14ac:dyDescent="0.25">
      <c r="A38" s="16" t="s">
        <v>17</v>
      </c>
      <c r="B38" s="16" t="s">
        <v>18</v>
      </c>
      <c r="C38" s="17">
        <f>SUM(C14:C37)</f>
      </c>
      <c r="D38" s="17">
        <f>SUM(D14:D37)</f>
      </c>
      <c r="E38" s="17">
        <f>SUM(E14:E37)</f>
      </c>
      <c r="F38" s="16" t="s">
        <v>18</v>
      </c>
      <c r="G38" s="16" t="s">
        <v>18</v>
      </c>
    </row>
    <row r="40" spans="1:7" x14ac:dyDescent="0.25">
      <c r="A40" s="18" t="s">
        <v>19</v>
      </c>
      <c r="B40" s="18"/>
      <c r="C40" s="18"/>
      <c r="D40" s="18"/>
      <c r="E40" s="18"/>
      <c r="F40" s="18"/>
      <c r="G40" s="18"/>
    </row>
  </sheetData>
  <mergeCells count="5">
    <mergeCell ref="A1:F1"/>
    <mergeCell ref="A2:F2"/>
    <mergeCell ref="A4:F4"/>
    <mergeCell ref="A12:G12"/>
    <mergeCell ref="A40:G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Amortización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