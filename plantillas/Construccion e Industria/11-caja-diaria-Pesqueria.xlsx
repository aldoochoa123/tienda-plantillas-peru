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<sst xmlns="http://schemas.openxmlformats.org/spreadsheetml/2006/main" count="129" uniqueCount="90">
  <si>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PESQUERÍA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</si>
  <si>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</si>
  <si>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</si>
  <si>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</si>
  <si>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</si>
  <si>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</si>
  <si>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</si>
  <si>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</si>
  <si>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</si>
  <si>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</si>
  <si>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</si>
  <si>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</si>
  <si>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Harina de pescado</t>
  </si>
  <si>
    <t>08:30</t>
  </si>
  <si>
    <t>B001-10001</t>
  </si>
  <si>
    <t>Yape</t>
  </si>
  <si>
    <t>Mariscos</t>
  </si>
  <si>
    <t>09:15</t>
  </si>
  <si>
    <t>B001-10002</t>
  </si>
  <si>
    <t>Plin</t>
  </si>
  <si>
    <t>Conchas de abanico</t>
  </si>
  <si>
    <t>09:45</t>
  </si>
  <si>
    <t>B001-10003</t>
  </si>
  <si>
    <t>10:20</t>
  </si>
  <si>
    <t>B001-10004</t>
  </si>
  <si>
    <t>Tarjeta</t>
  </si>
  <si>
    <t>11:00</t>
  </si>
  <si>
    <t>B001-10005</t>
  </si>
  <si>
    <t>Jurel</t>
  </si>
  <si>
    <t>11:40</t>
  </si>
  <si>
    <t>B001-10006</t>
  </si>
  <si>
    <t>12:15</t>
  </si>
  <si>
    <t>B001-10007</t>
  </si>
  <si>
    <t>12:50</t>
  </si>
  <si>
    <t>B001-10008</t>
  </si>
  <si>
    <t>Transferencia</t>
  </si>
  <si>
    <t>Trucha</t>
  </si>
  <si>
    <t>13:30</t>
  </si>
  <si>
    <t>B001-10009</t>
  </si>
  <si>
    <t>14:10</t>
  </si>
  <si>
    <t>B001-10010</t>
  </si>
  <si>
    <t>Bonito</t>
  </si>
  <si>
    <t>15:00</t>
  </si>
  <si>
    <t>B001-10011</t>
  </si>
  <si>
    <t>15:30</t>
  </si>
  <si>
    <t>B001-10012</t>
  </si>
  <si>
    <t>Pescado fresco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</si>
  <si>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</si>
  <si>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</si>
  <si>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</si>
  <si>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</si>
  <si>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</si>
  <si>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</si>
  <si>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</si>
  <si>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</si>
  <si>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</si>
  <si>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</si>
  <si>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</si>
  <si>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</si>
  <si>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</si>
  <si>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</si>
  <si>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</si>
  <si>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</si>
  <si>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</si>
  <si>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</si>
  <si>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</si>
  <si>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</si>
  <si>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</si>
  <si>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</si>
  <si>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</si>
  <si>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</si>
  <si>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</si>
  <si>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</si>
  <si>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</si>
  <si>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</si>
  <si>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</si>
  <si>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</si>
  <si>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</si>
  <si>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PESQUERÍA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</si>
  <si>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</si>
  <si>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</si>
  <si>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</si>
  <si>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</si>
  <si>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</si>
  <si>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</si>
  <si>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</si>
  <si>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</si>
  <si>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</si>
  <si>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</si>
  <si>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Pesquería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</si>
</sst>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26.79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12.95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46.67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41.72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46.88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51.34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28</v>
      </c>
      <c r="E11" s="5">
        <v>15.62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28</v>
      </c>
      <c r="E12" s="7">
        <v>30.46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45.83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57.38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19.99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28</v>
      </c>
      <c r="E16" s="7">
        <v>31.22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4.4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46</v>
      </c>
      <c r="E18" s="7">
        <v>51.5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16</v>
      </c>
      <c r="E19" s="5">
        <v>30.14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20</v>
      </c>
      <c r="E20" s="7">
        <v>34.36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5.83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46</v>
      </c>
      <c r="E22" s="7">
        <v>23.3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36</v>
      </c>
      <c r="E23" s="5">
        <v>12.25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28</v>
      </c>
      <c r="E24" s="7">
        <v>40.62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4</v>
      </c>
      <c r="C5" s="5">
        <f>200*B5</f>
      </c>
    </row>
    <row r="6" spans="1:3" x14ac:dyDescent="0.25">
      <c r="A6" s="6" t="s">
        <v>67</v>
      </c>
      <c r="B6" s="9">
        <v>3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19</v>
      </c>
      <c r="C8" s="7">
        <f>20*B8</f>
      </c>
    </row>
    <row r="9" spans="1:3" x14ac:dyDescent="0.25">
      <c r="A9" s="4" t="s">
        <v>70</v>
      </c>
      <c r="B9" s="8">
        <v>1</v>
      </c>
      <c r="C9" s="5">
        <f>10*B9</f>
      </c>
    </row>
    <row r="10" spans="1:3" x14ac:dyDescent="0.25">
      <c r="A10" s="6" t="s">
        <v>71</v>
      </c>
      <c r="B10" s="9">
        <v>0</v>
      </c>
      <c r="C10" s="7">
        <f>5*B10</f>
      </c>
    </row>
    <row r="11" spans="1:3" x14ac:dyDescent="0.25">
      <c r="A11" s="4" t="s">
        <v>72</v>
      </c>
      <c r="B11" s="8">
        <v>13</v>
      </c>
      <c r="C11" s="5">
        <f>2*B11</f>
      </c>
    </row>
    <row r="12" spans="1:3" x14ac:dyDescent="0.25">
      <c r="A12" s="6" t="s">
        <v>73</v>
      </c>
      <c r="B12" s="9">
        <v>18</v>
      </c>
      <c r="C12" s="7">
        <f>1*B12</f>
      </c>
    </row>
    <row r="13" spans="1:3" x14ac:dyDescent="0.25">
      <c r="A13" s="4" t="s">
        <v>74</v>
      </c>
      <c r="B13" s="8">
        <v>10</v>
      </c>
      <c r="C13" s="5">
        <f>0.5*B13</f>
      </c>
    </row>
    <row r="14" spans="1:3" x14ac:dyDescent="0.25">
      <c r="A14" s="6" t="s">
        <v>75</v>
      </c>
      <c r="B14" s="9">
        <v>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{FB6C0E34-0A9B-4536-8930-BD609A7C0E80}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6C0E34-0A9B-4536-8930-BD609A7C0E8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