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lance General" state="visible" r:id="rId4"/>
  </sheets>
  <calcPr calcId="171027"/>
</workbook>
</file>

<file path=xl/sharedStrings.xml><?xml version="1.0" encoding="utf-8"?>
<sst xmlns="http://schemas.openxmlformats.org/spreadsheetml/2006/main" count="46" uniqueCount="46">
  <si>
    <t>BALANCE GENERAL — MINERÍA ARTESANAL</t>
  </si>
  <si>
    <t>Situación Financiera al 31 de diciembre del ${new Date().getFullYear()}</t>
  </si>
  <si>
    <t>ACTIVO</t>
  </si>
  <si>
    <t>ACTIVO CORRIENTE</t>
  </si>
  <si>
    <t>Cuenta</t>
  </si>
  <si>
    <t>Actual</t>
  </si>
  <si>
    <t>Anterior</t>
  </si>
  <si>
    <t>Variación</t>
  </si>
  <si>
    <t>Var %</t>
  </si>
  <si>
    <t xml:space="preserve">  Caja y Bancos</t>
  </si>
  <si>
    <t xml:space="preserve">  Cuentas por Cobrar</t>
  </si>
  <si>
    <t xml:space="preserve">  Inventarios</t>
  </si>
  <si>
    <t xml:space="preserve">  Anticipos</t>
  </si>
  <si>
    <t xml:space="preserve">  Documentos por Cobrar</t>
  </si>
  <si>
    <t>Total Activo Corriente</t>
  </si>
  <si>
    <t>ACTIVO NO CORRIENTE</t>
  </si>
  <si>
    <t xml:space="preserve">  Terrenos</t>
  </si>
  <si>
    <t xml:space="preserve">  Edificios</t>
  </si>
  <si>
    <t xml:space="preserve">  Maquinaria</t>
  </si>
  <si>
    <t xml:space="preserve">  Vehículos</t>
  </si>
  <si>
    <t xml:space="preserve">  Mobiliario</t>
  </si>
  <si>
    <t xml:space="preserve">  Equipo de Computo</t>
  </si>
  <si>
    <t>Total Activo No Corriente</t>
  </si>
  <si>
    <t>TOTAL ACTIVO</t>
  </si>
  <si>
    <t>PASIVO</t>
  </si>
  <si>
    <t>PASIVO CORRIENTE</t>
  </si>
  <si>
    <t xml:space="preserve">  Proveedores</t>
  </si>
  <si>
    <t xml:space="preserve">  Documentos por Pagar</t>
  </si>
  <si>
    <t xml:space="preserve">  Sueldos por Pagar</t>
  </si>
  <si>
    <t xml:space="preserve">  Obligaciones Tributarias</t>
  </si>
  <si>
    <t xml:space="preserve">  Préstamos CP</t>
  </si>
  <si>
    <t>Total Pasivo Corriente</t>
  </si>
  <si>
    <t>PASIVO NO CORRIENTE</t>
  </si>
  <si>
    <t xml:space="preserve">  Préstamos Bancarios LP</t>
  </si>
  <si>
    <t xml:space="preserve">  Obligaciones Financieras LP</t>
  </si>
  <si>
    <t>Total Pasivo No Corriente</t>
  </si>
  <si>
    <t>TOTAL PASIVO</t>
  </si>
  <si>
    <t>PATRIMONIO</t>
  </si>
  <si>
    <t xml:space="preserve">  Capital Social</t>
  </si>
  <si>
    <t xml:space="preserve">  Resultados no Distribuidos</t>
  </si>
  <si>
    <t xml:space="preserve">  Reservas Legales</t>
  </si>
  <si>
    <t>Total Patrimonio</t>
  </si>
  <si>
    <t>TOTAL PASIVO + PATRIMONIO</t>
  </si>
  <si>
    <t>✅ VERIFICACIÓN CONTABLE</t>
  </si>
  <si>
    <t/>
  </si>
  <si>
    <t>Minería Artesanal · Plantilla de Contabilidad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</si>
</sst>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4"/>
      <name val="Calibri"/>
    </font>
    <font>
      <b/>
      <color rgb="FF0B3B2A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2"/>
      <name val="Calibri"/>
    </font>
    <font>
      <i/>
      <color rgb="FF5B7268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  <fill>
      <patternFill patternType="solid">
        <fgColor rgb="FFEAF2FE"/>
      </patternFill>
    </fill>
    <fill>
      <patternFill patternType="solid">
        <fgColor rgb="FFFEF3E2"/>
      </patternFill>
    </fill>
    <fill>
      <patternFill patternType="solid">
        <fgColor rgb="FFFEF9E0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right" vertical="center"/>
    </xf>
    <xf numFmtId="0" fontId="7" fillId="4" borderId="1" xfId="0" applyFont="1" applyFill="1" applyBorder="1" applyAlignment="1">
      <alignment horizontal="left" vertical="center"/>
    </xf>
    <xf numFmtId="164" fontId="7" fillId="4" borderId="1" xfId="0" applyNumberFormat="1" applyFont="1" applyFill="1" applyBorder="1" applyAlignment="1">
      <alignment horizontal="right" vertical="center"/>
    </xf>
    <xf numFmtId="165" fontId="7" fillId="4" borderId="1" xfId="0" applyNumberFormat="1" applyFont="1" applyFill="1" applyBorder="1" applyAlignment="1">
      <alignment horizontal="right" vertical="center"/>
    </xf>
    <xf numFmtId="0" fontId="4" fillId="6" borderId="0" xfId="0" applyFont="1" applyFill="1" applyAlignment="1">
      <alignment horizontal="lef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165" fontId="7" fillId="6" borderId="1" xfId="0" applyNumberFormat="1" applyFont="1" applyFill="1" applyBorder="1" applyAlignment="1">
      <alignment horizontal="right" vertical="center"/>
    </xf>
    <xf numFmtId="0" fontId="5" fillId="2" borderId="1" xfId="0" applyFont="1" applyFill="1" applyBorder="1" applyAlignment="1">
      <alignment horizontal="left" vertical="center"/>
    </xf>
    <xf numFmtId="164" fontId="5" fillId="2" borderId="1" xfId="0" applyNumberFormat="1" applyFont="1" applyFill="1" applyBorder="1" applyAlignment="1">
      <alignment horizontal="right" vertical="center"/>
    </xf>
    <xf numFmtId="165" fontId="5" fillId="2" borderId="1" xfId="0" applyNumberFormat="1" applyFont="1" applyFill="1" applyBorder="1" applyAlignment="1">
      <alignment horizontal="right" vertical="center"/>
    </xf>
    <xf numFmtId="0" fontId="4" fillId="7" borderId="0" xfId="0" applyFont="1" applyFill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164" fontId="7" fillId="7" borderId="1" xfId="0" applyNumberFormat="1" applyFont="1" applyFill="1" applyBorder="1" applyAlignment="1">
      <alignment horizontal="right" vertical="center"/>
    </xf>
    <xf numFmtId="165" fontId="7" fillId="7" borderId="1" xfId="0" applyNumberFormat="1" applyFont="1" applyFill="1" applyBorder="1" applyAlignment="1">
      <alignment horizontal="right" vertical="center"/>
    </xf>
    <xf numFmtId="0" fontId="4" fillId="8" borderId="0" xfId="0" applyFont="1" applyFill="1" applyAlignment="1">
      <alignment horizontal="left" vertical="center"/>
    </xf>
    <xf numFmtId="0" fontId="7" fillId="8" borderId="1" xfId="0" applyFont="1" applyFill="1" applyBorder="1" applyAlignment="1">
      <alignment horizontal="left" vertical="center"/>
    </xf>
    <xf numFmtId="164" fontId="7" fillId="8" borderId="1" xfId="0" applyNumberFormat="1" applyFont="1" applyFill="1" applyBorder="1" applyAlignment="1">
      <alignment horizontal="right" vertical="center"/>
    </xf>
    <xf numFmtId="165" fontId="7" fillId="8" borderId="1" xfId="0" applyNumberFormat="1" applyFont="1" applyFill="1" applyBorder="1" applyAlignment="1">
      <alignment horizontal="right" vertical="center"/>
    </xf>
    <xf numFmtId="0" fontId="3" fillId="9" borderId="0" xfId="0" applyFont="1" applyFill="1" applyAlignment="1">
      <alignment horizontal="left" vertical="center"/>
    </xf>
    <xf numFmtId="0" fontId="7" fillId="9" borderId="1" xfId="0" applyFont="1" applyFill="1" applyBorder="1" applyAlignment="1">
      <alignment horizontal="left" vertical="center"/>
    </xf>
    <xf numFmtId="164" fontId="7" fillId="9" borderId="1" xfId="0" applyNumberFormat="1" applyFont="1" applyFill="1" applyBorder="1" applyAlignment="1">
      <alignment horizontal="right" vertical="center"/>
    </xf>
    <xf numFmtId="165" fontId="7" fillId="9" borderId="1" xfId="0" applyNumberFormat="1" applyFont="1" applyFill="1" applyBorder="1" applyAlignment="1">
      <alignment horizontal="right" vertical="center"/>
    </xf>
    <xf numFmtId="0" fontId="8" fillId="3" borderId="0" xfId="0" applyFont="1" applyFill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 showGridLines="0"/>
  </sheetViews>
  <sheetFormatPr defaultRowHeight="15" outlineLevelRow="0" outlineLevelCol="0" x14ac:dyDescent="55"/>
  <cols>
    <col min="1" max="1" width="32" customWidth="1"/>
    <col min="2" max="6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/>
      <c r="C4" s="3"/>
      <c r="D4" s="3"/>
      <c r="E4" s="3"/>
      <c r="F4" s="3"/>
      <c r="G4" s="3"/>
    </row>
    <row r="5" spans="1:3" x14ac:dyDescent="0.25">
      <c r="A5" s="4" t="s">
        <v>3</v>
      </c>
      <c r="B5" s="4"/>
      <c r="C5" s="4"/>
    </row>
    <row r="6" ht="22" customHeight="1" spans="1:5" x14ac:dyDescent="0.2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</row>
    <row r="7" spans="1:5" x14ac:dyDescent="0.25">
      <c r="A7" s="6" t="s">
        <v>9</v>
      </c>
      <c r="B7" s="7">
        <v>13127.12</v>
      </c>
      <c r="C7" s="7">
        <v>11699.26</v>
      </c>
      <c r="D7" s="7">
        <f>B7-C7</f>
      </c>
      <c r="E7" s="8">
        <f>IF(C7=0,0,D7/C7)</f>
      </c>
    </row>
    <row r="8" spans="1:5" x14ac:dyDescent="0.25">
      <c r="A8" s="9" t="s">
        <v>10</v>
      </c>
      <c r="B8" s="10">
        <v>19577.69</v>
      </c>
      <c r="C8" s="10">
        <v>17556.75</v>
      </c>
      <c r="D8" s="10">
        <f>B8-C8</f>
      </c>
      <c r="E8" s="11">
        <f>IF(C8=0,0,D8/C8)</f>
      </c>
    </row>
    <row r="9" spans="1:5" x14ac:dyDescent="0.25">
      <c r="A9" s="6" t="s">
        <v>11</v>
      </c>
      <c r="B9" s="7">
        <v>10260.34</v>
      </c>
      <c r="C9" s="7">
        <v>10966.64</v>
      </c>
      <c r="D9" s="7">
        <f>B9-C9</f>
      </c>
      <c r="E9" s="8">
        <f>IF(C9=0,0,D9/C9)</f>
      </c>
    </row>
    <row r="10" spans="1:5" x14ac:dyDescent="0.25">
      <c r="A10" s="9" t="s">
        <v>12</v>
      </c>
      <c r="B10" s="10">
        <v>6118.17</v>
      </c>
      <c r="C10" s="10">
        <v>5215.64</v>
      </c>
      <c r="D10" s="10">
        <f>B10-C10</f>
      </c>
      <c r="E10" s="11">
        <f>IF(C10=0,0,D10/C10)</f>
      </c>
    </row>
    <row r="11" spans="1:5" x14ac:dyDescent="0.25">
      <c r="A11" s="6" t="s">
        <v>13</v>
      </c>
      <c r="B11" s="7">
        <v>17692.88</v>
      </c>
      <c r="C11" s="7">
        <v>19070.41</v>
      </c>
      <c r="D11" s="7">
        <f>B11-C11</f>
      </c>
      <c r="E11" s="8">
        <f>IF(C11=0,0,D11/C11)</f>
      </c>
    </row>
    <row r="12" spans="1:5" x14ac:dyDescent="0.25">
      <c r="A12" s="12" t="s">
        <v>14</v>
      </c>
      <c r="B12" s="13">
        <f>SUM(B7:B11)</f>
      </c>
      <c r="C12" s="13">
        <f>SUM(C7:C11)</f>
      </c>
      <c r="D12" s="13">
        <f>B12-C12</f>
      </c>
      <c r="E12" s="14">
        <f>IF(C12=0,0,D12/C12)</f>
      </c>
    </row>
    <row r="13" spans="1:3" x14ac:dyDescent="0.25">
      <c r="A13" s="15" t="s">
        <v>15</v>
      </c>
      <c r="B13" s="15"/>
      <c r="C13" s="15"/>
    </row>
    <row r="14" spans="1:5" x14ac:dyDescent="0.25">
      <c r="A14" s="6" t="s">
        <v>16</v>
      </c>
      <c r="B14" s="7">
        <v>67173.41</v>
      </c>
      <c r="C14" s="7">
        <v>63413.14</v>
      </c>
      <c r="D14" s="7">
        <f>B14-C14</f>
      </c>
      <c r="E14" s="8">
        <f>IF(C14=0,0,D14/C14)</f>
      </c>
    </row>
    <row r="15" spans="1:5" x14ac:dyDescent="0.25">
      <c r="A15" s="9" t="s">
        <v>17</v>
      </c>
      <c r="B15" s="10">
        <v>33658.76</v>
      </c>
      <c r="C15" s="10">
        <v>29612.79</v>
      </c>
      <c r="D15" s="10">
        <f>B15-C15</f>
      </c>
      <c r="E15" s="11">
        <f>IF(C15=0,0,D15/C15)</f>
      </c>
    </row>
    <row r="16" spans="1:5" x14ac:dyDescent="0.25">
      <c r="A16" s="6" t="s">
        <v>18</v>
      </c>
      <c r="B16" s="7">
        <v>75354.24</v>
      </c>
      <c r="C16" s="7">
        <v>74314.39</v>
      </c>
      <c r="D16" s="7">
        <f>B16-C16</f>
      </c>
      <c r="E16" s="8">
        <f>IF(C16=0,0,D16/C16)</f>
      </c>
    </row>
    <row r="17" spans="1:5" x14ac:dyDescent="0.25">
      <c r="A17" s="9" t="s">
        <v>19</v>
      </c>
      <c r="B17" s="10">
        <v>44219.73</v>
      </c>
      <c r="C17" s="10">
        <v>42066.13</v>
      </c>
      <c r="D17" s="10">
        <f>B17-C17</f>
      </c>
      <c r="E17" s="11">
        <f>IF(C17=0,0,D17/C17)</f>
      </c>
    </row>
    <row r="18" spans="1:5" x14ac:dyDescent="0.25">
      <c r="A18" s="6" t="s">
        <v>20</v>
      </c>
      <c r="B18" s="7">
        <v>46608.41</v>
      </c>
      <c r="C18" s="7">
        <v>37840.34</v>
      </c>
      <c r="D18" s="7">
        <f>B18-C18</f>
      </c>
      <c r="E18" s="8">
        <f>IF(C18=0,0,D18/C18)</f>
      </c>
    </row>
    <row r="19" spans="1:5" x14ac:dyDescent="0.25">
      <c r="A19" s="9" t="s">
        <v>21</v>
      </c>
      <c r="B19" s="10">
        <v>75180.86</v>
      </c>
      <c r="C19" s="10">
        <v>64861.85</v>
      </c>
      <c r="D19" s="10">
        <f>B19-C19</f>
      </c>
      <c r="E19" s="11">
        <f>IF(C19=0,0,D19/C19)</f>
      </c>
    </row>
    <row r="20" spans="1:5" x14ac:dyDescent="0.25">
      <c r="A20" s="16" t="s">
        <v>22</v>
      </c>
      <c r="B20" s="17">
        <f>SUM(B14:B19)</f>
      </c>
      <c r="C20" s="17">
        <f>SUM(C14:C19)</f>
      </c>
      <c r="D20" s="17">
        <f>B20-C20</f>
      </c>
      <c r="E20" s="18">
        <f>IF(C20=0,0,D20/C20)</f>
      </c>
    </row>
    <row r="21" spans="1:5" x14ac:dyDescent="0.25">
      <c r="A21" s="19" t="s">
        <v>23</v>
      </c>
      <c r="B21" s="20">
        <f>B12+B20</f>
      </c>
      <c r="C21" s="20">
        <f>C12+C20</f>
      </c>
      <c r="D21" s="20">
        <f>B21-C21</f>
      </c>
      <c r="E21" s="21">
        <f>IF(C21=0,0,D21/C21)</f>
      </c>
    </row>
    <row r="23" spans="1:7" x14ac:dyDescent="0.25">
      <c r="A23" s="3" t="s">
        <v>24</v>
      </c>
      <c r="B23" s="3"/>
      <c r="C23" s="3"/>
      <c r="D23" s="3"/>
      <c r="E23" s="3"/>
      <c r="F23" s="3"/>
      <c r="G23" s="3"/>
    </row>
    <row r="24" spans="1:3" x14ac:dyDescent="0.25">
      <c r="A24" s="22" t="s">
        <v>25</v>
      </c>
      <c r="B24" s="22"/>
      <c r="C24" s="22"/>
    </row>
    <row r="25" spans="1:5" x14ac:dyDescent="0.25">
      <c r="A25" s="6" t="s">
        <v>26</v>
      </c>
      <c r="B25" s="7">
        <v>14153.04</v>
      </c>
      <c r="C25" s="7">
        <v>13715.819949931221</v>
      </c>
      <c r="D25" s="7">
        <f>B25-C25</f>
      </c>
      <c r="E25" s="8">
        <f>IF(C25=0,0,D25/C25)</f>
      </c>
    </row>
    <row r="26" spans="1:5" x14ac:dyDescent="0.25">
      <c r="A26" s="9" t="s">
        <v>27</v>
      </c>
      <c r="B26" s="10">
        <v>11772.28</v>
      </c>
      <c r="C26" s="10">
        <v>12500.612526123665</v>
      </c>
      <c r="D26" s="10">
        <f>B26-C26</f>
      </c>
      <c r="E26" s="11">
        <f>IF(C26=0,0,D26/C26)</f>
      </c>
    </row>
    <row r="27" spans="1:5" x14ac:dyDescent="0.25">
      <c r="A27" s="6" t="s">
        <v>28</v>
      </c>
      <c r="B27" s="7">
        <v>16604.89</v>
      </c>
      <c r="C27" s="7">
        <v>16706.426455853827</v>
      </c>
      <c r="D27" s="7">
        <f>B27-C27</f>
      </c>
      <c r="E27" s="8">
        <f>IF(C27=0,0,D27/C27)</f>
      </c>
    </row>
    <row r="28" spans="1:5" x14ac:dyDescent="0.25">
      <c r="A28" s="9" t="s">
        <v>29</v>
      </c>
      <c r="B28" s="10">
        <v>9304.55</v>
      </c>
      <c r="C28" s="10">
        <v>8474.407970543602</v>
      </c>
      <c r="D28" s="10">
        <f>B28-C28</f>
      </c>
      <c r="E28" s="11">
        <f>IF(C28=0,0,D28/C28)</f>
      </c>
    </row>
    <row r="29" spans="1:5" x14ac:dyDescent="0.25">
      <c r="A29" s="6" t="s">
        <v>30</v>
      </c>
      <c r="B29" s="7">
        <v>4156.65</v>
      </c>
      <c r="C29" s="7">
        <v>4415.114284428069</v>
      </c>
      <c r="D29" s="7">
        <f>B29-C29</f>
      </c>
      <c r="E29" s="8">
        <f>IF(C29=0,0,D29/C29)</f>
      </c>
    </row>
    <row r="30" spans="1:5" x14ac:dyDescent="0.25">
      <c r="A30" s="23" t="s">
        <v>31</v>
      </c>
      <c r="B30" s="24">
        <f>SUM(B25:B29)</f>
      </c>
      <c r="C30" s="24">
        <f>SUM(C25:C29)</f>
      </c>
      <c r="D30" s="24">
        <f>B30-C30</f>
      </c>
      <c r="E30" s="25">
        <f>IF(C30=0,0,D30/C30)</f>
      </c>
    </row>
    <row r="31" spans="1:3" x14ac:dyDescent="0.25">
      <c r="A31" s="26" t="s">
        <v>32</v>
      </c>
      <c r="B31" s="26"/>
      <c r="C31" s="26"/>
    </row>
    <row r="32" spans="1:5" x14ac:dyDescent="0.25">
      <c r="A32" s="6" t="s">
        <v>33</v>
      </c>
      <c r="B32" s="7">
        <v>25427.88</v>
      </c>
      <c r="C32" s="7">
        <v>24419.328607306335</v>
      </c>
      <c r="D32" s="7">
        <f>B32-C32</f>
      </c>
      <c r="E32" s="8">
        <f>IF(C32=0,0,D32/C32)</f>
      </c>
    </row>
    <row r="33" spans="1:5" x14ac:dyDescent="0.25">
      <c r="A33" s="9" t="s">
        <v>34</v>
      </c>
      <c r="B33" s="10">
        <v>61838.74</v>
      </c>
      <c r="C33" s="10">
        <v>60745.804338822956</v>
      </c>
      <c r="D33" s="10">
        <f>B33-C33</f>
      </c>
      <c r="E33" s="11">
        <f>IF(C33=0,0,D33/C33)</f>
      </c>
    </row>
    <row r="34" spans="1:5" x14ac:dyDescent="0.25">
      <c r="A34" s="27" t="s">
        <v>35</v>
      </c>
      <c r="B34" s="28">
        <f>SUM(B32:B33)</f>
      </c>
      <c r="C34" s="28">
        <f>SUM(C32:C33)</f>
      </c>
      <c r="D34" s="28">
        <f>B34-C34</f>
      </c>
      <c r="E34" s="29">
        <f>IF(C34=0,0,D34/C34)</f>
      </c>
    </row>
    <row r="35" spans="1:5" x14ac:dyDescent="0.25">
      <c r="A35" s="19" t="s">
        <v>36</v>
      </c>
      <c r="B35" s="20">
        <f>B30+B34</f>
      </c>
      <c r="C35" s="20">
        <f>C30+C34</f>
      </c>
      <c r="D35" s="20">
        <f>B35-C35</f>
      </c>
      <c r="E35" s="21">
        <f>IF(C35=0,0,D35/C35)</f>
      </c>
    </row>
    <row r="37" spans="1:7" x14ac:dyDescent="0.25">
      <c r="A37" s="30" t="s">
        <v>37</v>
      </c>
      <c r="B37" s="30"/>
      <c r="C37" s="30"/>
      <c r="D37" s="30"/>
      <c r="E37" s="30"/>
      <c r="F37" s="30"/>
      <c r="G37" s="30"/>
    </row>
    <row r="38" spans="1:5" x14ac:dyDescent="0.25">
      <c r="A38" s="6" t="s">
        <v>38</v>
      </c>
      <c r="B38" s="7">
        <v>25378.43</v>
      </c>
      <c r="C38" s="7">
        <v>23889.433864443654</v>
      </c>
      <c r="D38" s="7">
        <f>B38-C38</f>
      </c>
      <c r="E38" s="8">
        <f>IF(C38=0,0,D38/C38)</f>
      </c>
    </row>
    <row r="39" spans="1:5" x14ac:dyDescent="0.25">
      <c r="A39" s="9" t="s">
        <v>39</v>
      </c>
      <c r="B39" s="10">
        <v>77285.07</v>
      </c>
      <c r="C39" s="10">
        <v>70637.29571160949</v>
      </c>
      <c r="D39" s="10">
        <f>B39-C39</f>
      </c>
      <c r="E39" s="11">
        <f>IF(C39=0,0,D39/C39)</f>
      </c>
    </row>
    <row r="40" spans="1:5" x14ac:dyDescent="0.25">
      <c r="A40" s="6" t="s">
        <v>40</v>
      </c>
      <c r="B40" s="7">
        <v>24323.03</v>
      </c>
      <c r="C40" s="7">
        <v>23572.197341624</v>
      </c>
      <c r="D40" s="7">
        <f>B40-C40</f>
      </c>
      <c r="E40" s="8">
        <f>IF(C40=0,0,D40/C40)</f>
      </c>
    </row>
    <row r="41" spans="1:5" x14ac:dyDescent="0.25">
      <c r="A41" s="31" t="s">
        <v>41</v>
      </c>
      <c r="B41" s="32">
        <f>SUM(B38:B40)</f>
      </c>
      <c r="C41" s="32">
        <f>SUM(C38:C40)</f>
      </c>
      <c r="D41" s="32">
        <f>B41-C41</f>
      </c>
      <c r="E41" s="33">
        <f>IF(C41=0,0,D41/C41)</f>
      </c>
    </row>
    <row r="42" spans="1:5" x14ac:dyDescent="0.25">
      <c r="A42" s="19" t="s">
        <v>42</v>
      </c>
      <c r="B42" s="20">
        <f>B35+B41</f>
      </c>
      <c r="C42" s="20">
        <f>C35+C41</f>
      </c>
      <c r="D42" s="20">
        <f>B42-C42</f>
      </c>
      <c r="E42" s="21">
        <f>IF(C42=0,0,D42/C42)</f>
      </c>
    </row>
    <row r="44" spans="1:5" x14ac:dyDescent="0.25">
      <c r="A44" s="34" t="s">
        <v>43</v>
      </c>
      <c r="B44" s="34"/>
      <c r="C44" s="34"/>
      <c r="D44" s="6" t="s">
        <v>44</v>
      </c>
      <c r="E44" s="7">
        <f>B21-B42</f>
      </c>
    </row>
    <row r="45" spans="1:7" x14ac:dyDescent="0.25">
      <c r="A45" s="35" t="s">
        <v>45</v>
      </c>
      <c r="B45" s="35"/>
      <c r="C45" s="35"/>
      <c r="D45" s="35"/>
      <c r="E45" s="35"/>
      <c r="F45" s="35"/>
      <c r="G45" s="35"/>
    </row>
  </sheetData>
  <mergeCells count="11">
    <mergeCell ref="A1:G1"/>
    <mergeCell ref="A2:G2"/>
    <mergeCell ref="A4:G4"/>
    <mergeCell ref="A5:C5"/>
    <mergeCell ref="A13:C13"/>
    <mergeCell ref="A23:G23"/>
    <mergeCell ref="A24:C24"/>
    <mergeCell ref="A31:C31"/>
    <mergeCell ref="A37:G37"/>
    <mergeCell ref="A44:C44"/>
    <mergeCell ref="A45:G45"/>
  </mergeCells>
  <conditionalFormatting sqref="D44:D44">
    <cfRule type="cellIs" dxfId="0" priority="1" operator="equal">
      <formula>0</formula>
    </cfRule>
    <cfRule type="cellIs" dxfId="1" priority="2" operator="not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 General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