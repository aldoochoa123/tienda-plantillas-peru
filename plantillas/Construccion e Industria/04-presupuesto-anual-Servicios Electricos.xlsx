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upuesto" state="visible" r:id="rId4"/>
    <sheet sheetId="2" name="Registro" state="visible" r:id="rId5"/>
  </sheets>
  <calcPr calcId="171027"/>
</workbook>
</file>

<file path=xl/sharedStrings.xml><?xml version="1.0" encoding="utf-8"?>
<sst xmlns="http://schemas.openxmlformats.org/spreadsheetml/2006/main" count="87" uniqueCount="47">
  <si>
    <t>PRESUPUESTO ANUAL 2026 — SERVICIOS ELÉCTRICOS</t>
  </si>
  <si>
    <t>Compara lo planificado contra lo ejecutado, mes por mes</t>
  </si>
  <si>
    <t>PRESUPUESTO VS EJECUTADO POR MES</t>
  </si>
  <si>
    <t>Mes</t>
  </si>
  <si>
    <t>Presupuestado</t>
  </si>
  <si>
    <t>Ejecutado</t>
  </si>
  <si>
    <t>Desviación S/</t>
  </si>
  <si>
    <t>Desviación %</t>
  </si>
  <si>
    <t>Estado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</si>
  <si>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</si>
  <si>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</si>
  <si>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</si>
  <si>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</si>
  <si>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</si>
  <si>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</si>
  <si>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</si>
  <si>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</si>
  <si>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</si>
  <si>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</si>
  <si>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</si>
  <si>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</si>
  <si>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</si>
  <si>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/>
  </si>
  <si>
    <t>POR CATEGORÍA (se calcula desde la hoja Registro)</t>
  </si>
  <si>
    <t>Categoría</t>
  </si>
  <si>
    <t>Presupuesto Anual</t>
  </si>
  <si>
    <t>Ejecutado Acumulado</t>
  </si>
  <si>
    <t>Saldo</t>
  </si>
  <si>
    <t>Avance %</t>
  </si>
  <si>
    <t>Insumos</t>
  </si>
  <si>
    <t>Alquiler</t>
  </si>
  <si>
    <t>Servicios</t>
  </si>
  <si>
    <t>Personal</t>
  </si>
  <si>
    <t>Marketing</t>
  </si>
  <si>
    <t>Transporte</t>
  </si>
  <si>
    <t>💡 Ajusta los montos presupuestados a la realidad de tu negocio.</t>
  </si>
  <si>
    <t>Servicios Eléctricos · Plantilla profesional Pack Perú</t>
  </si>
  <si>
    <t>REGISTRO DE EJECUCIÓN — SERVICIOS ELÉCTRICOS</t>
  </si>
  <si>
    <t>Registra cada gasto ejecutado con su categoría</t>
  </si>
  <si>
    <t>Fecha</t>
  </si>
  <si>
    <t>Concepto</t>
  </si>
  <si>
    <t>Monto</t>
  </si>
  <si>
    <t>Gasto operativo</t>
  </si>
  <si>
    <t>Mantenimiento</t>
  </si>
  <si>
    <t>Compra mensual</t>
  </si>
  <si>
    <t>Pago de servicios</t>
  </si>
  <si>
    <t>Reposición de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</si>
</sst>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6" fontId="5" fillId="0" borderId="1" xfId="0" applyNumberFormat="1" applyFont="1" applyBorder="1" applyAlignment="1">
      <alignment horizontal="left" vertical="center"/>
    </xf>
    <xf numFmtId="166" fontId="5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/>
  </sheetViews>
  <sheetFormatPr defaultRowHeight="15" outlineLevelRow="0" outlineLevelCol="0" x14ac:dyDescent="55"/>
  <cols>
    <col min="1" max="4" width="14" customWidth="1"/>
    <col min="5" max="6" width="13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1" x14ac:dyDescent="0.25">
      <c r="A4" s="3" t="s">
        <v>2</v>
      </c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4601.68</v>
      </c>
      <c r="C6" s="6">
        <v>3553.15</v>
      </c>
      <c r="D6" s="6">
        <f>IF(C6="","",B6-C6)</f>
      </c>
      <c r="E6" s="7">
        <f>IF(C6="","",D6/B6)</f>
      </c>
      <c r="F6" s="8">
        <f>IF(C6="","Pendiente",IF(C6&lt;=B6,"En meta","Excedido"))</f>
      </c>
    </row>
    <row r="7" spans="1:6" x14ac:dyDescent="0.25">
      <c r="A7" s="9" t="s">
        <v>10</v>
      </c>
      <c r="B7" s="10">
        <v>4497.58</v>
      </c>
      <c r="C7" s="10">
        <v>4926.66</v>
      </c>
      <c r="D7" s="10">
        <f>IF(C7="","",B7-C7)</f>
      </c>
      <c r="E7" s="11">
        <f>IF(C7="","",D7/B7)</f>
      </c>
      <c r="F7" s="12">
        <f>IF(C7="","Pendiente",IF(C7&lt;=B7,"En meta","Excedido"))</f>
      </c>
    </row>
    <row r="8" spans="1:6" x14ac:dyDescent="0.25">
      <c r="A8" s="5" t="s">
        <v>11</v>
      </c>
      <c r="B8" s="6">
        <v>4755.39</v>
      </c>
      <c r="C8" s="6">
        <v>5127.96</v>
      </c>
      <c r="D8" s="6">
        <f>IF(C8="","",B8-C8)</f>
      </c>
      <c r="E8" s="7">
        <f>IF(C8="","",D8/B8)</f>
      </c>
      <c r="F8" s="8">
        <f>IF(C8="","Pendiente",IF(C8&lt;=B8,"En meta","Excedido"))</f>
      </c>
    </row>
    <row r="9" spans="1:6" x14ac:dyDescent="0.25">
      <c r="A9" s="9" t="s">
        <v>12</v>
      </c>
      <c r="B9" s="10">
        <v>4760.24</v>
      </c>
      <c r="C9" s="10">
        <v>4960.34</v>
      </c>
      <c r="D9" s="10">
        <f>IF(C9="","",B9-C9)</f>
      </c>
      <c r="E9" s="11">
        <f>IF(C9="","",D9/B9)</f>
      </c>
      <c r="F9" s="12">
        <f>IF(C9="","Pendiente",IF(C9&lt;=B9,"En meta","Excedido"))</f>
      </c>
    </row>
    <row r="10" spans="1:6" x14ac:dyDescent="0.25">
      <c r="A10" s="5" t="s">
        <v>13</v>
      </c>
      <c r="B10" s="6">
        <v>4793.46</v>
      </c>
      <c r="C10" s="6">
        <v>4374.65</v>
      </c>
      <c r="D10" s="6">
        <f>IF(C10="","",B10-C10)</f>
      </c>
      <c r="E10" s="7">
        <f>IF(C10="","",D10/B10)</f>
      </c>
      <c r="F10" s="8">
        <f>IF(C10="","Pendiente",IF(C10&lt;=B10,"En meta","Excedido"))</f>
      </c>
    </row>
    <row r="11" spans="1:6" x14ac:dyDescent="0.25">
      <c r="A11" s="9" t="s">
        <v>14</v>
      </c>
      <c r="B11" s="10">
        <v>5094.47</v>
      </c>
      <c r="C11" s="10">
        <v>5522.04</v>
      </c>
      <c r="D11" s="10">
        <f>IF(C11="","",B11-C11)</f>
      </c>
      <c r="E11" s="11">
        <f>IF(C11="","",D11/B11)</f>
      </c>
      <c r="F11" s="12">
        <f>IF(C11="","Pendiente",IF(C11&lt;=B11,"En meta","Excedido"))</f>
      </c>
    </row>
    <row r="12" spans="1:6" x14ac:dyDescent="0.25">
      <c r="A12" s="5" t="s">
        <v>15</v>
      </c>
      <c r="B12" s="6">
        <v>5017.72</v>
      </c>
      <c r="C12" s="6">
        <v>5907.43</v>
      </c>
      <c r="D12" s="6">
        <f>IF(C12="","",B12-C12)</f>
      </c>
      <c r="E12" s="7">
        <f>IF(C12="","",D12/B12)</f>
      </c>
      <c r="F12" s="8">
        <f>IF(C12="","Pendiente",IF(C12&lt;=B12,"En meta","Excedido"))</f>
      </c>
    </row>
    <row r="13" spans="1:6" x14ac:dyDescent="0.25">
      <c r="A13" s="9" t="s">
        <v>16</v>
      </c>
      <c r="B13" s="10">
        <v>5128.61</v>
      </c>
      <c r="C13" s="13"/>
      <c r="D13" s="10">
        <f>IF(C13="","",B13-C13)</f>
      </c>
      <c r="E13" s="11">
        <f>IF(C13="","",D13/B13)</f>
      </c>
      <c r="F13" s="12">
        <f>IF(C13="","Pendiente",IF(C13&lt;=B13,"En meta","Excedido"))</f>
      </c>
    </row>
    <row r="14" spans="1:6" x14ac:dyDescent="0.25">
      <c r="A14" s="5" t="s">
        <v>17</v>
      </c>
      <c r="B14" s="6">
        <v>5159.35</v>
      </c>
      <c r="C14" s="14"/>
      <c r="D14" s="6">
        <f>IF(C14="","",B14-C14)</f>
      </c>
      <c r="E14" s="7">
        <f>IF(C14="","",D14/B14)</f>
      </c>
      <c r="F14" s="8">
        <f>IF(C14="","Pendiente",IF(C14&lt;=B14,"En meta","Excedido"))</f>
      </c>
    </row>
    <row r="15" spans="1:6" x14ac:dyDescent="0.25">
      <c r="A15" s="9" t="s">
        <v>18</v>
      </c>
      <c r="B15" s="10">
        <v>5110.42</v>
      </c>
      <c r="C15" s="13"/>
      <c r="D15" s="10">
        <f>IF(C15="","",B15-C15)</f>
      </c>
      <c r="E15" s="11">
        <f>IF(C15="","",D15/B15)</f>
      </c>
      <c r="F15" s="12">
        <f>IF(C15="","Pendiente",IF(C15&lt;=B15,"En meta","Excedido"))</f>
      </c>
    </row>
    <row r="16" spans="1:6" x14ac:dyDescent="0.25">
      <c r="A16" s="5" t="s">
        <v>19</v>
      </c>
      <c r="B16" s="6">
        <v>5142.73</v>
      </c>
      <c r="C16" s="14"/>
      <c r="D16" s="6">
        <f>IF(C16="","",B16-C16)</f>
      </c>
      <c r="E16" s="7">
        <f>IF(C16="","",D16/B16)</f>
      </c>
      <c r="F16" s="8">
        <f>IF(C16="","Pendiente",IF(C16&lt;=B16,"En meta","Excedido"))</f>
      </c>
    </row>
    <row r="17" spans="1:6" x14ac:dyDescent="0.25">
      <c r="A17" s="9" t="s">
        <v>20</v>
      </c>
      <c r="B17" s="10">
        <v>5274.06</v>
      </c>
      <c r="C17" s="13"/>
      <c r="D17" s="10">
        <f>IF(C17="","",B17-C17)</f>
      </c>
      <c r="E17" s="11">
        <f>IF(C17="","",D17/B17)</f>
      </c>
      <c r="F17" s="12">
        <f>IF(C17="","Pendiente",IF(C17&lt;=B17,"En meta","Excedido"))</f>
      </c>
    </row>
    <row r="18" spans="1:6" x14ac:dyDescent="0.25">
      <c r="A18" s="5" t="s">
        <v>21</v>
      </c>
      <c r="B18" s="6">
        <f>SUM(B6:B17)</f>
      </c>
      <c r="C18" s="6">
        <f>SUM(C6:C17)</f>
      </c>
      <c r="D18" s="6">
        <f>B18-C18</f>
      </c>
      <c r="E18" s="7">
        <f>D18/B18</f>
      </c>
      <c r="F18" s="5" t="s">
        <v>22</v>
      </c>
    </row>
    <row r="21" spans="1:1" x14ac:dyDescent="0.25">
      <c r="A21" s="3" t="s">
        <v>23</v>
      </c>
    </row>
    <row r="22" ht="22" customHeight="1" spans="1:5" x14ac:dyDescent="0.25">
      <c r="A22" s="4" t="s">
        <v>24</v>
      </c>
      <c r="B22" s="4" t="s">
        <v>25</v>
      </c>
      <c r="C22" s="4" t="s">
        <v>26</v>
      </c>
      <c r="D22" s="4" t="s">
        <v>27</v>
      </c>
      <c r="E22" s="4" t="s">
        <v>28</v>
      </c>
    </row>
    <row r="23" spans="1:5" x14ac:dyDescent="0.25">
      <c r="A23" s="5" t="s">
        <v>29</v>
      </c>
      <c r="B23" s="6">
        <v>8715</v>
      </c>
      <c r="C23" s="6">
        <f>SUMIF(Registro!$B:$B,A23,Registro!$D:$D)</f>
      </c>
      <c r="D23" s="6">
        <f>B23-C23</f>
      </c>
      <c r="E23" s="7">
        <f>IF(B23=0,0,C23/B23)</f>
      </c>
    </row>
    <row r="24" spans="1:5" x14ac:dyDescent="0.25">
      <c r="A24" s="9" t="s">
        <v>30</v>
      </c>
      <c r="B24" s="10">
        <v>4421</v>
      </c>
      <c r="C24" s="10">
        <f>SUMIF(Registro!$B:$B,A24,Registro!$D:$D)</f>
      </c>
      <c r="D24" s="10">
        <f>B24-C24</f>
      </c>
      <c r="E24" s="11">
        <f>IF(B24=0,0,C24/B24)</f>
      </c>
    </row>
    <row r="25" spans="1:5" x14ac:dyDescent="0.25">
      <c r="A25" s="5" t="s">
        <v>31</v>
      </c>
      <c r="B25" s="6">
        <v>4298</v>
      </c>
      <c r="C25" s="6">
        <f>SUMIF(Registro!$B:$B,A25,Registro!$D:$D)</f>
      </c>
      <c r="D25" s="6">
        <f>B25-C25</f>
      </c>
      <c r="E25" s="7">
        <f>IF(B25=0,0,C25/B25)</f>
      </c>
    </row>
    <row r="26" spans="1:5" x14ac:dyDescent="0.25">
      <c r="A26" s="9" t="s">
        <v>32</v>
      </c>
      <c r="B26" s="10">
        <v>8606</v>
      </c>
      <c r="C26" s="10">
        <f>SUMIF(Registro!$B:$B,A26,Registro!$D:$D)</f>
      </c>
      <c r="D26" s="10">
        <f>B26-C26</f>
      </c>
      <c r="E26" s="11">
        <f>IF(B26=0,0,C26/B26)</f>
      </c>
    </row>
    <row r="27" spans="1:5" x14ac:dyDescent="0.25">
      <c r="A27" s="5" t="s">
        <v>33</v>
      </c>
      <c r="B27" s="6">
        <v>4402</v>
      </c>
      <c r="C27" s="6">
        <f>SUMIF(Registro!$B:$B,A27,Registro!$D:$D)</f>
      </c>
      <c r="D27" s="6">
        <f>B27-C27</f>
      </c>
      <c r="E27" s="7">
        <f>IF(B27=0,0,C27/B27)</f>
      </c>
    </row>
    <row r="28" spans="1:5" x14ac:dyDescent="0.25">
      <c r="A28" s="9" t="s">
        <v>34</v>
      </c>
      <c r="B28" s="10">
        <v>4252</v>
      </c>
      <c r="C28" s="10">
        <f>SUMIF(Registro!$B:$B,A28,Registro!$D:$D)</f>
      </c>
      <c r="D28" s="10">
        <f>B28-C28</f>
      </c>
      <c r="E28" s="11">
        <f>IF(B28=0,0,C28/B28)</f>
      </c>
    </row>
    <row r="30" spans="1:1" x14ac:dyDescent="0.25">
      <c r="A30" s="15" t="s">
        <v>35</v>
      </c>
    </row>
    <row r="32" spans="1:6" x14ac:dyDescent="0.25">
      <c r="A32" s="16" t="s">
        <v>36</v>
      </c>
      <c r="B32" s="16"/>
      <c r="C32" s="16"/>
      <c r="D32" s="16"/>
      <c r="E32" s="16"/>
      <c r="F32" s="16"/>
    </row>
  </sheetData>
  <mergeCells count="3">
    <mergeCell ref="A1:F1"/>
    <mergeCell ref="A2:F2"/>
    <mergeCell ref="A32:F32"/>
  </mergeCells>
  <conditionalFormatting sqref="F6:F17">
    <cfRule type="cellIs" dxfId="0" priority="1" operator="equal">
      <formula>"Excedido"</formula>
    </cfRule>
    <cfRule type="cellIs" dxfId="1" priority="2" operator="equal">
      <formula>"En meta"</formula>
    </cfRule>
  </conditionalFormatting>
  <conditionalFormatting sqref="C6:C17">
    <cfRule type="dataBar" priority="3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{0BE42203-2D49-441E-A1AC-2B03DB4B1280}</x14:id>
        </ext>
      </extLst>
    </cfRule>
  </conditionalFormatting>
  <conditionalFormatting sqref="E23:E28">
    <cfRule type="dataBar" priority="4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{8B4A77E0-E3D0-4B50-95FC-8C81089F8E98}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BE42203-2D49-441E-A1AC-2B03DB4B1280}">
            <x14:dataBar minLength="0" maxLength="100">
              <x14:cfvo type="min"/>
              <x14:cfvo type="max"/>
            </x14:dataBar>
          </x14:cfRule>
          <xm:sqref>C6:C17</xm:sqref>
        </x14:conditionalFormatting>
        <x14:conditionalFormatting xmlns:xm="http://schemas.microsoft.com/office/excel/2006/main">
          <x14:cfRule type="dataBar" id="{8B4A77E0-E3D0-4B50-95FC-8C81089F8E98}">
            <x14:dataBar minLength="0" maxLength="100">
              <x14:cfvo type="min"/>
              <x14:cfvo type="max"/>
            </x14:dataBar>
          </x14:cfRule>
          <xm:sqref>E23:E28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6" customWidth="1"/>
    <col min="3" max="3" width="32" customWidth="1"/>
    <col min="4" max="4" width="13" customWidth="1"/>
  </cols>
  <sheetData>
    <row r="1" ht="32" customHeight="1" spans="1:5" x14ac:dyDescent="0.25">
      <c r="A1" s="1" t="s">
        <v>37</v>
      </c>
      <c r="B1" s="1"/>
      <c r="C1" s="1"/>
      <c r="D1" s="1"/>
      <c r="E1" s="1"/>
    </row>
    <row r="2" ht="18" customHeight="1" spans="1:5" x14ac:dyDescent="0.25">
      <c r="A2" s="2" t="s">
        <v>38</v>
      </c>
      <c r="B2" s="2"/>
      <c r="C2" s="2"/>
      <c r="D2" s="2"/>
      <c r="E2" s="2"/>
    </row>
    <row r="4" ht="22" customHeight="1" spans="1:4" x14ac:dyDescent="0.25">
      <c r="A4" s="4" t="s">
        <v>39</v>
      </c>
      <c r="B4" s="4" t="s">
        <v>24</v>
      </c>
      <c r="C4" s="4" t="s">
        <v>40</v>
      </c>
      <c r="D4" s="4" t="s">
        <v>41</v>
      </c>
    </row>
    <row r="5" spans="1:4" x14ac:dyDescent="0.25">
      <c r="A5" s="17">
        <v>46205</v>
      </c>
      <c r="B5" s="5" t="s">
        <v>33</v>
      </c>
      <c r="C5" s="5" t="s">
        <v>42</v>
      </c>
      <c r="D5" s="6">
        <v>144.07</v>
      </c>
    </row>
    <row r="6" spans="1:4" x14ac:dyDescent="0.25">
      <c r="A6" s="18">
        <v>46026</v>
      </c>
      <c r="B6" s="9" t="s">
        <v>32</v>
      </c>
      <c r="C6" s="9" t="s">
        <v>43</v>
      </c>
      <c r="D6" s="10">
        <v>653.8</v>
      </c>
    </row>
    <row r="7" spans="1:4" x14ac:dyDescent="0.25">
      <c r="A7" s="17">
        <v>46077</v>
      </c>
      <c r="B7" s="5" t="s">
        <v>30</v>
      </c>
      <c r="C7" s="5" t="s">
        <v>44</v>
      </c>
      <c r="D7" s="6">
        <v>115.18</v>
      </c>
    </row>
    <row r="8" spans="1:4" x14ac:dyDescent="0.25">
      <c r="A8" s="18">
        <v>46085</v>
      </c>
      <c r="B8" s="9" t="s">
        <v>34</v>
      </c>
      <c r="C8" s="9" t="s">
        <v>45</v>
      </c>
      <c r="D8" s="10">
        <v>755.28</v>
      </c>
    </row>
    <row r="9" spans="1:4" x14ac:dyDescent="0.25">
      <c r="A9" s="17">
        <v>46207</v>
      </c>
      <c r="B9" s="5" t="s">
        <v>30</v>
      </c>
      <c r="C9" s="5" t="s">
        <v>43</v>
      </c>
      <c r="D9" s="6">
        <v>217.2</v>
      </c>
    </row>
    <row r="10" spans="1:4" x14ac:dyDescent="0.25">
      <c r="A10" s="18">
        <v>46072</v>
      </c>
      <c r="B10" s="9" t="s">
        <v>32</v>
      </c>
      <c r="C10" s="9" t="s">
        <v>43</v>
      </c>
      <c r="D10" s="10">
        <v>146.47</v>
      </c>
    </row>
    <row r="11" spans="1:4" x14ac:dyDescent="0.25">
      <c r="A11" s="17">
        <v>46059</v>
      </c>
      <c r="B11" s="5" t="s">
        <v>29</v>
      </c>
      <c r="C11" s="5" t="s">
        <v>44</v>
      </c>
      <c r="D11" s="6">
        <v>410.46</v>
      </c>
    </row>
    <row r="12" spans="1:4" x14ac:dyDescent="0.25">
      <c r="A12" s="18">
        <v>46067</v>
      </c>
      <c r="B12" s="9" t="s">
        <v>30</v>
      </c>
      <c r="C12" s="9" t="s">
        <v>45</v>
      </c>
      <c r="D12" s="10">
        <v>172.93</v>
      </c>
    </row>
    <row r="13" spans="1:4" x14ac:dyDescent="0.25">
      <c r="A13" s="17">
        <v>46219</v>
      </c>
      <c r="B13" s="5" t="s">
        <v>31</v>
      </c>
      <c r="C13" s="5" t="s">
        <v>42</v>
      </c>
      <c r="D13" s="6">
        <v>641.24</v>
      </c>
    </row>
    <row r="14" spans="1:4" x14ac:dyDescent="0.25">
      <c r="A14" s="18">
        <v>46038</v>
      </c>
      <c r="B14" s="9" t="s">
        <v>29</v>
      </c>
      <c r="C14" s="9" t="s">
        <v>42</v>
      </c>
      <c r="D14" s="10">
        <v>442.18</v>
      </c>
    </row>
    <row r="15" spans="1:4" x14ac:dyDescent="0.25">
      <c r="A15" s="17">
        <v>46215</v>
      </c>
      <c r="B15" s="5" t="s">
        <v>31</v>
      </c>
      <c r="C15" s="5" t="s">
        <v>43</v>
      </c>
      <c r="D15" s="6">
        <v>414.45</v>
      </c>
    </row>
    <row r="16" spans="1:4" x14ac:dyDescent="0.25">
      <c r="A16" s="18">
        <v>46058</v>
      </c>
      <c r="B16" s="9" t="s">
        <v>29</v>
      </c>
      <c r="C16" s="9" t="s">
        <v>42</v>
      </c>
      <c r="D16" s="10">
        <v>191.79</v>
      </c>
    </row>
    <row r="17" spans="1:4" x14ac:dyDescent="0.25">
      <c r="A17" s="17">
        <v>46062</v>
      </c>
      <c r="B17" s="5" t="s">
        <v>34</v>
      </c>
      <c r="C17" s="5" t="s">
        <v>46</v>
      </c>
      <c r="D17" s="6">
        <v>102.46</v>
      </c>
    </row>
    <row r="18" spans="1:4" x14ac:dyDescent="0.25">
      <c r="A18" s="18">
        <v>46200</v>
      </c>
      <c r="B18" s="9" t="s">
        <v>33</v>
      </c>
      <c r="C18" s="9" t="s">
        <v>42</v>
      </c>
      <c r="D18" s="10">
        <v>885.59</v>
      </c>
    </row>
    <row r="19" spans="1:4" x14ac:dyDescent="0.25">
      <c r="A19" s="17">
        <v>46071</v>
      </c>
      <c r="B19" s="5" t="s">
        <v>31</v>
      </c>
      <c r="C19" s="5" t="s">
        <v>42</v>
      </c>
      <c r="D19" s="6">
        <v>978.32</v>
      </c>
    </row>
    <row r="20" spans="1:4" x14ac:dyDescent="0.25">
      <c r="A20" s="18">
        <v>46156</v>
      </c>
      <c r="B20" s="9" t="s">
        <v>33</v>
      </c>
      <c r="C20" s="9" t="s">
        <v>43</v>
      </c>
      <c r="D20" s="10">
        <v>356.47</v>
      </c>
    </row>
    <row r="21" spans="1:4" x14ac:dyDescent="0.25">
      <c r="A21" s="17">
        <v>46195</v>
      </c>
      <c r="B21" s="5" t="s">
        <v>30</v>
      </c>
      <c r="C21" s="5" t="s">
        <v>44</v>
      </c>
      <c r="D21" s="6">
        <v>513.11</v>
      </c>
    </row>
    <row r="22" spans="1:4" x14ac:dyDescent="0.25">
      <c r="A22" s="18">
        <v>46139</v>
      </c>
      <c r="B22" s="9" t="s">
        <v>33</v>
      </c>
      <c r="C22" s="9" t="s">
        <v>43</v>
      </c>
      <c r="D22" s="10">
        <v>146.91</v>
      </c>
    </row>
    <row r="23" spans="1:4" x14ac:dyDescent="0.25">
      <c r="A23" s="17">
        <v>46162</v>
      </c>
      <c r="B23" s="5" t="s">
        <v>33</v>
      </c>
      <c r="C23" s="5" t="s">
        <v>46</v>
      </c>
      <c r="D23" s="6">
        <v>842.13</v>
      </c>
    </row>
    <row r="24" spans="1:4" x14ac:dyDescent="0.25">
      <c r="A24" s="18">
        <v>46148</v>
      </c>
      <c r="B24" s="9" t="s">
        <v>31</v>
      </c>
      <c r="C24" s="9" t="s">
        <v>42</v>
      </c>
      <c r="D24" s="10">
        <v>544.59</v>
      </c>
    </row>
    <row r="25" spans="1:4" x14ac:dyDescent="0.25">
      <c r="A25" s="17">
        <v>46219</v>
      </c>
      <c r="B25" s="5" t="s">
        <v>34</v>
      </c>
      <c r="C25" s="5" t="s">
        <v>43</v>
      </c>
      <c r="D25" s="6">
        <v>256.47</v>
      </c>
    </row>
    <row r="26" spans="1:4" x14ac:dyDescent="0.25">
      <c r="A26" s="18">
        <v>46218</v>
      </c>
      <c r="B26" s="9" t="s">
        <v>29</v>
      </c>
      <c r="C26" s="9" t="s">
        <v>45</v>
      </c>
      <c r="D26" s="10">
        <v>602.02</v>
      </c>
    </row>
  </sheetData>
  <mergeCells count="2">
    <mergeCell ref="A1:E1"/>
    <mergeCell ref="A2:E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Presupuesto</vt:lpstr>
      <vt:lpstr>Registro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