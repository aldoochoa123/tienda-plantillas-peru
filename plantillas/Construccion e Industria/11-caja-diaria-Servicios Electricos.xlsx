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<sst xmlns="http://schemas.openxmlformats.org/spreadsheetml/2006/main" count="129" uniqueCount="91">
  <si>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SERVICIOS ELÉCTRICOS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</si>
  <si>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</si>
  <si>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</si>
  <si>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</si>
  <si>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</si>
  <si>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</si>
  <si>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</si>
  <si>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</si>
  <si>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</si>
  <si>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</si>
  <si>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</si>
  <si>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</si>
  <si>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Puesta a tierra</t>
  </si>
  <si>
    <t>08:30</t>
  </si>
  <si>
    <t>B001-10001</t>
  </si>
  <si>
    <t>Yape</t>
  </si>
  <si>
    <t>Mantenimiento preventivo</t>
  </si>
  <si>
    <t>09:15</t>
  </si>
  <si>
    <t>B001-10002</t>
  </si>
  <si>
    <t>Plin</t>
  </si>
  <si>
    <t>09:45</t>
  </si>
  <si>
    <t>B001-10003</t>
  </si>
  <si>
    <t>Tablero eléctrico</t>
  </si>
  <si>
    <t>10:20</t>
  </si>
  <si>
    <t>B001-10004</t>
  </si>
  <si>
    <t>Tarjeta</t>
  </si>
  <si>
    <t>Instalación eléctrica</t>
  </si>
  <si>
    <t>11:00</t>
  </si>
  <si>
    <t>B001-10005</t>
  </si>
  <si>
    <t>11:40</t>
  </si>
  <si>
    <t>B001-10006</t>
  </si>
  <si>
    <t>Reparación de cortocircuito</t>
  </si>
  <si>
    <t>12:15</t>
  </si>
  <si>
    <t>B001-10007</t>
  </si>
  <si>
    <t>12:50</t>
  </si>
  <si>
    <t>B001-10008</t>
  </si>
  <si>
    <t>Transferencia</t>
  </si>
  <si>
    <t>Instalación de luminarias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</si>
  <si>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</si>
  <si>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</si>
  <si>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</si>
  <si>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</si>
  <si>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</si>
  <si>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</si>
  <si>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</si>
  <si>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</si>
  <si>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Emergencia 24h</t>
  </si>
  <si>
    <t>16:00</t>
  </si>
  <si>
    <t>B001-10013</t>
  </si>
  <si>
    <t>16:45</t>
  </si>
  <si>
    <t>B001-10014</t>
  </si>
  <si>
    <t>17:15</t>
  </si>
  <si>
    <t>B001-10015</t>
  </si>
  <si>
    <t>Certificación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</si>
  <si>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</si>
  <si>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</si>
  <si>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</si>
  <si>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</si>
  <si>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</si>
  <si>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</si>
  <si>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</si>
  <si>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</si>
  <si>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</si>
  <si>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</si>
  <si>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</si>
  <si>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</si>
  <si>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</si>
  <si>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</si>
  <si>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</si>
  <si>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</si>
  <si>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</si>
  <si>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</si>
  <si>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</si>
  <si>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</si>
  <si>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</si>
  <si>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</si>
  <si>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</si>
  <si>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</si>
  <si>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</si>
  <si>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SERVICIOS ELÉCTRICOS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</si>
  <si>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</si>
  <si>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</si>
  <si>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</si>
  <si>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</si>
  <si>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</si>
  <si>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</si>
  <si>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</si>
  <si>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</si>
  <si>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</si>
  <si>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</si>
  <si>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Servicios Eléctricos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</si>
</sst>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19.21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26.66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19.14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3.37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9.11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26</v>
      </c>
      <c r="E10" s="7">
        <v>43.32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16.58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22</v>
      </c>
      <c r="E12" s="7">
        <v>32.01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53.01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37</v>
      </c>
      <c r="E14" s="7">
        <v>5.47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12</v>
      </c>
      <c r="E15" s="5">
        <v>45.26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37</v>
      </c>
      <c r="E16" s="7">
        <v>33.42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37.49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37</v>
      </c>
      <c r="E18" s="7">
        <v>48.75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12</v>
      </c>
      <c r="E19" s="5">
        <v>57.03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53</v>
      </c>
      <c r="E20" s="7">
        <v>5.18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37</v>
      </c>
      <c r="E21" s="5">
        <v>27.55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31</v>
      </c>
      <c r="E22" s="7">
        <v>13.41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37</v>
      </c>
      <c r="E23" s="5">
        <v>25.48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16</v>
      </c>
      <c r="E24" s="7">
        <v>24.99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2</v>
      </c>
      <c r="C6" s="7">
        <f>100*B6</f>
      </c>
    </row>
    <row r="7" spans="1:3" x14ac:dyDescent="0.25">
      <c r="A7" s="4" t="s">
        <v>69</v>
      </c>
      <c r="B7" s="8">
        <v>0</v>
      </c>
      <c r="C7" s="5">
        <f>50*B7</f>
      </c>
    </row>
    <row r="8" spans="1:3" x14ac:dyDescent="0.25">
      <c r="A8" s="6" t="s">
        <v>70</v>
      </c>
      <c r="B8" s="9">
        <v>3</v>
      </c>
      <c r="C8" s="7">
        <f>20*B8</f>
      </c>
    </row>
    <row r="9" spans="1:3" x14ac:dyDescent="0.25">
      <c r="A9" s="4" t="s">
        <v>71</v>
      </c>
      <c r="B9" s="8">
        <v>5</v>
      </c>
      <c r="C9" s="5">
        <f>10*B9</f>
      </c>
    </row>
    <row r="10" spans="1:3" x14ac:dyDescent="0.25">
      <c r="A10" s="6" t="s">
        <v>72</v>
      </c>
      <c r="B10" s="9">
        <v>3</v>
      </c>
      <c r="C10" s="7">
        <f>5*B10</f>
      </c>
    </row>
    <row r="11" spans="1:3" x14ac:dyDescent="0.25">
      <c r="A11" s="4" t="s">
        <v>73</v>
      </c>
      <c r="B11" s="8">
        <v>16</v>
      </c>
      <c r="C11" s="5">
        <f>2*B11</f>
      </c>
    </row>
    <row r="12" spans="1:3" x14ac:dyDescent="0.25">
      <c r="A12" s="6" t="s">
        <v>74</v>
      </c>
      <c r="B12" s="9">
        <v>19</v>
      </c>
      <c r="C12" s="7">
        <f>1*B12</f>
      </c>
    </row>
    <row r="13" spans="1:3" x14ac:dyDescent="0.25">
      <c r="A13" s="4" t="s">
        <v>75</v>
      </c>
      <c r="B13" s="8">
        <v>3</v>
      </c>
      <c r="C13" s="5">
        <f>0.5*B13</f>
      </c>
    </row>
    <row r="14" spans="1:3" x14ac:dyDescent="0.25">
      <c r="A14" s="6" t="s">
        <v>76</v>
      </c>
      <c r="B14" s="9">
        <v>14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{CAD364F3-CC51-41FA-8D10-EFF195F35E70}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364F3-CC51-41FA-8D10-EFF195F35E70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