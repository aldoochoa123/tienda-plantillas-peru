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<sst xmlns="http://schemas.openxmlformats.org/spreadsheetml/2006/main" count="129" uniqueCount="90">
  <si>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SALÓN DE JUEGOS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</si>
  <si>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</si>
  <si>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</si>
  <si>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</si>
  <si>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</si>
  <si>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</si>
  <si>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</si>
  <si>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</si>
  <si>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</si>
  <si>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</si>
  <si>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</si>
  <si>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</si>
  <si>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Promoción familiar</t>
  </si>
  <si>
    <t>08:30</t>
  </si>
  <si>
    <t>B001-10001</t>
  </si>
  <si>
    <t>Yape</t>
  </si>
  <si>
    <t>09:15</t>
  </si>
  <si>
    <t>B001-10002</t>
  </si>
  <si>
    <t>Plin</t>
  </si>
  <si>
    <t>09:45</t>
  </si>
  <si>
    <t>B001-10003</t>
  </si>
  <si>
    <t>Billar por hora</t>
  </si>
  <si>
    <t>10:20</t>
  </si>
  <si>
    <t>B001-10004</t>
  </si>
  <si>
    <t>Tarjeta</t>
  </si>
  <si>
    <t>Cumpleaños infantil</t>
  </si>
  <si>
    <t>11:00</t>
  </si>
  <si>
    <t>B001-10005</t>
  </si>
  <si>
    <t>Recarga de fichas</t>
  </si>
  <si>
    <t>11:40</t>
  </si>
  <si>
    <t>B001-10006</t>
  </si>
  <si>
    <t>Máquina de premios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</si>
  <si>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</si>
  <si>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</si>
  <si>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</si>
  <si>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</si>
  <si>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</si>
  <si>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</si>
  <si>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</si>
  <si>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</si>
  <si>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</si>
  <si>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</si>
  <si>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</si>
  <si>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Fichas de juego</t>
  </si>
  <si>
    <t>15:30</t>
  </si>
  <si>
    <t>B001-10012</t>
  </si>
  <si>
    <t>Fútbolito por hora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</si>
  <si>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</si>
  <si>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</si>
  <si>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</si>
  <si>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</si>
  <si>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</si>
  <si>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</si>
  <si>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</si>
  <si>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</si>
  <si>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</si>
  <si>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</si>
  <si>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</si>
  <si>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</si>
  <si>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</si>
  <si>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</si>
  <si>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</si>
  <si>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</si>
  <si>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</si>
  <si>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</si>
  <si>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</si>
  <si>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</si>
  <si>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</si>
  <si>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</si>
  <si>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</si>
  <si>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</si>
  <si>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</si>
  <si>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</si>
  <si>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</si>
  <si>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</si>
  <si>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</si>
  <si>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</si>
  <si>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</si>
  <si>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SALÓN DE JUEGOS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</si>
  <si>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</si>
  <si>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</si>
  <si>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</si>
  <si>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</si>
  <si>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</si>
  <si>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</si>
  <si>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</si>
  <si>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</si>
  <si>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</si>
  <si>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</si>
  <si>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Salón de Juegos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</si>
</sst>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19.78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7.32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12</v>
      </c>
      <c r="E7" s="5">
        <v>14.94</v>
      </c>
      <c r="F7" s="5">
        <f>ROUND(E7/1.18*0.18,2)</f>
      </c>
      <c r="G7" s="5">
        <f>E7</f>
      </c>
    </row>
    <row r="8" spans="1:7" x14ac:dyDescent="0.25">
      <c r="A8" s="6" t="s">
        <v>19</v>
      </c>
      <c r="B8" s="6" t="s">
        <v>20</v>
      </c>
      <c r="C8" s="6" t="s">
        <v>11</v>
      </c>
      <c r="D8" s="6" t="s">
        <v>21</v>
      </c>
      <c r="E8" s="7">
        <v>42.97</v>
      </c>
      <c r="F8" s="7">
        <f>ROUND(E8/1.18*0.18,2)</f>
      </c>
      <c r="G8" s="7">
        <f>E8</f>
      </c>
    </row>
    <row r="9" spans="1:7" x14ac:dyDescent="0.25">
      <c r="A9" s="4" t="s">
        <v>22</v>
      </c>
      <c r="B9" s="4" t="s">
        <v>23</v>
      </c>
      <c r="C9" s="4" t="s">
        <v>24</v>
      </c>
      <c r="D9" s="4" t="s">
        <v>25</v>
      </c>
      <c r="E9" s="5">
        <v>40.17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16.99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47.97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25</v>
      </c>
      <c r="E12" s="7">
        <v>7.67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25</v>
      </c>
      <c r="E13" s="5">
        <v>50.37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21</v>
      </c>
      <c r="E14" s="7">
        <v>32.88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12</v>
      </c>
      <c r="E15" s="5">
        <v>12.83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43</v>
      </c>
      <c r="E16" s="7">
        <v>5.09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18</v>
      </c>
      <c r="D17" s="4" t="s">
        <v>46</v>
      </c>
      <c r="E17" s="5">
        <v>7.66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46</v>
      </c>
      <c r="E18" s="7">
        <v>27.96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24</v>
      </c>
      <c r="D19" s="4" t="s">
        <v>21</v>
      </c>
      <c r="E19" s="5">
        <v>3.44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12</v>
      </c>
      <c r="E20" s="7">
        <v>56.86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31</v>
      </c>
      <c r="E21" s="5">
        <v>38.42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25</v>
      </c>
      <c r="E22" s="7">
        <v>31.07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25</v>
      </c>
      <c r="E23" s="5">
        <v>9.66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21</v>
      </c>
      <c r="E24" s="7">
        <v>24.3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1</v>
      </c>
      <c r="C6" s="7">
        <f>100*B6</f>
      </c>
    </row>
    <row r="7" spans="1:3" x14ac:dyDescent="0.25">
      <c r="A7" s="4" t="s">
        <v>68</v>
      </c>
      <c r="B7" s="8">
        <v>3</v>
      </c>
      <c r="C7" s="5">
        <f>50*B7</f>
      </c>
    </row>
    <row r="8" spans="1:3" x14ac:dyDescent="0.25">
      <c r="A8" s="6" t="s">
        <v>69</v>
      </c>
      <c r="B8" s="9">
        <v>1</v>
      </c>
      <c r="C8" s="7">
        <f>20*B8</f>
      </c>
    </row>
    <row r="9" spans="1:3" x14ac:dyDescent="0.25">
      <c r="A9" s="4" t="s">
        <v>70</v>
      </c>
      <c r="B9" s="8">
        <v>10</v>
      </c>
      <c r="C9" s="5">
        <f>10*B9</f>
      </c>
    </row>
    <row r="10" spans="1:3" x14ac:dyDescent="0.25">
      <c r="A10" s="6" t="s">
        <v>71</v>
      </c>
      <c r="B10" s="9">
        <v>19</v>
      </c>
      <c r="C10" s="7">
        <f>5*B10</f>
      </c>
    </row>
    <row r="11" spans="1:3" x14ac:dyDescent="0.25">
      <c r="A11" s="4" t="s">
        <v>72</v>
      </c>
      <c r="B11" s="8">
        <v>6</v>
      </c>
      <c r="C11" s="5">
        <f>2*B11</f>
      </c>
    </row>
    <row r="12" spans="1:3" x14ac:dyDescent="0.25">
      <c r="A12" s="6" t="s">
        <v>73</v>
      </c>
      <c r="B12" s="9">
        <v>13</v>
      </c>
      <c r="C12" s="7">
        <f>1*B12</f>
      </c>
    </row>
    <row r="13" spans="1:3" x14ac:dyDescent="0.25">
      <c r="A13" s="4" t="s">
        <v>74</v>
      </c>
      <c r="B13" s="8">
        <v>1</v>
      </c>
      <c r="C13" s="5">
        <f>0.5*B13</f>
      </c>
    </row>
    <row r="14" spans="1:3" x14ac:dyDescent="0.25">
      <c r="A14" s="6" t="s">
        <v>75</v>
      </c>
      <c r="B14" s="9">
        <v>12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24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{3F6E2535-EE0A-4FFD-8A3D-EE3E83F67577}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6E2535-EE0A-4FFD-8A3D-EE3E83F67577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