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'Planilla'!$A$41:$A$42</f>
            </numRef>
          </cat>
          <val>
            <numRef>
              <f>'Planilla'!$B$41:$B$42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'Planilla'!$E$10:$E$23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'Planilla'!$F$10:$F$23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'Planilla'!$G$10:$G$23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'Planilla'!$H$10:$H$23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'Planilla'!$I$10:$I$23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'Planilla'!$J$10:$J$23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CINE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14</v>
      </c>
      <c r="C5" s="8" t="n">
        <v>1540</v>
      </c>
      <c r="E5" s="9" t="n">
        <v>138</v>
      </c>
      <c r="G5" s="10" t="n">
        <v>1678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77079348</t>
        </is>
      </c>
      <c r="C10" s="13" t="inlineStr">
        <is>
          <t>Gerente</t>
        </is>
      </c>
      <c r="D10" s="14" t="n">
        <v>499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93490812</t>
        </is>
      </c>
      <c r="C11" s="15" t="inlineStr">
        <is>
          <t>Vendedor</t>
        </is>
      </c>
      <c r="D11" s="16" t="n">
        <v>-16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76439474</t>
        </is>
      </c>
      <c r="C12" s="13" t="inlineStr">
        <is>
          <t>Cajero</t>
        </is>
      </c>
      <c r="D12" s="14" t="n">
        <v>375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26760635</t>
        </is>
      </c>
      <c r="C13" s="15" t="inlineStr">
        <is>
          <t>Almacenero</t>
        </is>
      </c>
      <c r="D13" s="16" t="n">
        <v>359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87460316</t>
        </is>
      </c>
      <c r="C14" s="13" t="inlineStr">
        <is>
          <t>Contador</t>
        </is>
      </c>
      <c r="D14" s="14" t="n">
        <v>95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42911438</t>
        </is>
      </c>
      <c r="C15" s="15" t="inlineStr">
        <is>
          <t>Motorizado</t>
        </is>
      </c>
      <c r="D15" s="16" t="n">
        <v>15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59571735</t>
        </is>
      </c>
      <c r="C16" s="13" t="inlineStr">
        <is>
          <t>Seguridad</t>
        </is>
      </c>
      <c r="D16" s="14" t="n">
        <v>393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99046241</t>
        </is>
      </c>
      <c r="C17" s="15" t="inlineStr">
        <is>
          <t>Limpieza</t>
        </is>
      </c>
      <c r="D17" s="16" t="n">
        <v>45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28651352</t>
        </is>
      </c>
      <c r="C18" s="13" t="inlineStr">
        <is>
          <t>Auxiliar</t>
        </is>
      </c>
      <c r="D18" s="14" t="n">
        <v>497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16720931</t>
        </is>
      </c>
      <c r="C19" s="15" t="inlineStr">
        <is>
          <t>Supervisor</t>
        </is>
      </c>
      <c r="D19" s="16" t="n">
        <v>148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29130791</t>
        </is>
      </c>
      <c r="C20" s="13" t="inlineStr">
        <is>
          <t>Analista</t>
        </is>
      </c>
      <c r="D20" s="14" t="n">
        <v>324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150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95551721</t>
        </is>
      </c>
      <c r="C21" s="15" t="inlineStr">
        <is>
          <t>Tecnico</t>
        </is>
      </c>
      <c r="D21" s="16" t="n">
        <v>441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200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65111049</t>
        </is>
      </c>
      <c r="C22" s="13" t="inlineStr">
        <is>
          <t>Operario</t>
        </is>
      </c>
      <c r="D22" s="14" t="n">
        <v>430</v>
      </c>
      <c r="E22" s="14">
        <f>D22*0.13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200</v>
      </c>
      <c r="L22" s="14">
        <f>D22+F22+H22+I22+J22+K22</f>
        <v/>
      </c>
      <c r="M22" s="14">
        <f>E22</f>
        <v/>
      </c>
    </row>
    <row r="23">
      <c r="A23" s="15" t="inlineStr">
        <is>
          <t>Rosa Castillo</t>
        </is>
      </c>
      <c r="B23" s="15" t="inlineStr">
        <is>
          <t>89211801</t>
        </is>
      </c>
      <c r="C23" s="15" t="inlineStr">
        <is>
          <t>Practicante</t>
        </is>
      </c>
      <c r="D23" s="16" t="n">
        <v>238</v>
      </c>
      <c r="E23" s="16">
        <f>D23*0.13</f>
        <v/>
      </c>
      <c r="F23" s="16">
        <f>D23*0.09</f>
        <v/>
      </c>
      <c r="G23" s="16">
        <f>D23-E23</f>
        <v/>
      </c>
      <c r="H23" s="16">
        <f>D23/12</f>
        <v/>
      </c>
      <c r="I23" s="16">
        <f>D23/6</f>
        <v/>
      </c>
      <c r="J23" s="16">
        <f>D23/12</f>
        <v/>
      </c>
      <c r="K23" s="16" t="n">
        <v>200</v>
      </c>
      <c r="L23" s="16">
        <f>D23+F23+H23+I23+J23+K23</f>
        <v/>
      </c>
      <c r="M23" s="16">
        <f>E23</f>
        <v/>
      </c>
    </row>
    <row r="24">
      <c r="A24" s="17" t="inlineStr">
        <is>
          <t>TOTALES</t>
        </is>
      </c>
      <c r="D24" s="18">
        <f>SUM(D10:D23)</f>
        <v/>
      </c>
      <c r="E24" s="18">
        <f>SUM(E10:E23)</f>
        <v/>
      </c>
      <c r="F24" s="18">
        <f>SUM(F10:F23)</f>
        <v/>
      </c>
      <c r="G24" s="18">
        <f>SUM(G10:G23)</f>
        <v/>
      </c>
      <c r="H24" s="18">
        <f>SUM(H10:H23)</f>
        <v/>
      </c>
      <c r="I24" s="18">
        <f>SUM(I10:I23)</f>
        <v/>
      </c>
      <c r="J24" s="18">
        <f>SUM(J10:J23)</f>
        <v/>
      </c>
      <c r="K24" s="18">
        <f>SUM(K10:K23)</f>
        <v/>
      </c>
      <c r="L24" s="18">
        <f>SUM(L10:L23)</f>
        <v/>
      </c>
      <c r="M24" s="18">
        <f>SUM(M10:M23)</f>
        <v/>
      </c>
    </row>
    <row r="40">
      <c r="A40" s="19" t="inlineStr">
        <is>
          <t>REGIMEN</t>
        </is>
      </c>
      <c r="B40" s="19" t="inlineStr">
        <is>
          <t>CANTIDAD</t>
        </is>
      </c>
    </row>
    <row r="41">
      <c r="A41" t="inlineStr">
        <is>
          <t>AFP</t>
        </is>
      </c>
      <c r="B41" t="n">
        <v>10</v>
      </c>
    </row>
    <row r="42">
      <c r="A42" t="inlineStr">
        <is>
          <t>ONP</t>
        </is>
      </c>
      <c r="B42" t="n">
        <v>4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Cine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110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