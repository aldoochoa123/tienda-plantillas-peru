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'Planilla'!$A$36:$A$37</f>
            </numRef>
          </cat>
          <val>
            <numRef>
              <f>'Planilla'!$B$36:$B$37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'Planilla'!$E$10:$E$18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'Planilla'!$F$10:$F$18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'Planilla'!$G$10:$G$18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'Planilla'!$H$10:$H$18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'Planilla'!$I$10:$I$18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'Planilla'!$J$10:$J$18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34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38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DISCOTECA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9</v>
      </c>
      <c r="C5" s="8" t="n">
        <v>1917</v>
      </c>
      <c r="E5" s="9" t="n">
        <v>172</v>
      </c>
      <c r="G5" s="10" t="n">
        <v>2089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67374380</t>
        </is>
      </c>
      <c r="C10" s="13" t="inlineStr">
        <is>
          <t>Gerente</t>
        </is>
      </c>
      <c r="D10" s="14" t="n">
        <v>401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30926411</t>
        </is>
      </c>
      <c r="C11" s="15" t="inlineStr">
        <is>
          <t>Vendedor</t>
        </is>
      </c>
      <c r="D11" s="16" t="n">
        <v>298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91014861</t>
        </is>
      </c>
      <c r="C12" s="13" t="inlineStr">
        <is>
          <t>Cajero</t>
        </is>
      </c>
      <c r="D12" s="14" t="n">
        <v>521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28332042</t>
        </is>
      </c>
      <c r="C13" s="15" t="inlineStr">
        <is>
          <t>Almacenero</t>
        </is>
      </c>
      <c r="D13" s="16" t="n">
        <v>430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50917471</t>
        </is>
      </c>
      <c r="C14" s="13" t="inlineStr">
        <is>
          <t>Contador</t>
        </is>
      </c>
      <c r="D14" s="14" t="n">
        <v>257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28091443</t>
        </is>
      </c>
      <c r="C15" s="15" t="inlineStr">
        <is>
          <t>Motorizado</t>
        </is>
      </c>
      <c r="D15" s="16" t="n">
        <v>320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88434524</t>
        </is>
      </c>
      <c r="C16" s="13" t="inlineStr">
        <is>
          <t>Seguridad</t>
        </is>
      </c>
      <c r="D16" s="14" t="n">
        <v>600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25726599</t>
        </is>
      </c>
      <c r="C17" s="15" t="inlineStr">
        <is>
          <t>Limpieza</t>
        </is>
      </c>
      <c r="D17" s="16" t="n">
        <v>584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44037787</t>
        </is>
      </c>
      <c r="C18" s="13" t="inlineStr">
        <is>
          <t>Auxiliar</t>
        </is>
      </c>
      <c r="D18" s="14" t="n">
        <v>439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7" t="inlineStr">
        <is>
          <t>TOTALES</t>
        </is>
      </c>
      <c r="D19" s="18">
        <f>SUM(D10:D18)</f>
        <v/>
      </c>
      <c r="E19" s="18">
        <f>SUM(E10:E18)</f>
        <v/>
      </c>
      <c r="F19" s="18">
        <f>SUM(F10:F18)</f>
        <v/>
      </c>
      <c r="G19" s="18">
        <f>SUM(G10:G18)</f>
        <v/>
      </c>
      <c r="H19" s="18">
        <f>SUM(H10:H18)</f>
        <v/>
      </c>
      <c r="I19" s="18">
        <f>SUM(I10:I18)</f>
        <v/>
      </c>
      <c r="J19" s="18">
        <f>SUM(J10:J18)</f>
        <v/>
      </c>
      <c r="K19" s="18">
        <f>SUM(K10:K18)</f>
        <v/>
      </c>
      <c r="L19" s="18">
        <f>SUM(L10:L18)</f>
        <v/>
      </c>
      <c r="M19" s="18">
        <f>SUM(M10:M18)</f>
        <v/>
      </c>
    </row>
    <row r="35">
      <c r="A35" s="19" t="inlineStr">
        <is>
          <t>REGIMEN</t>
        </is>
      </c>
      <c r="B35" s="19" t="inlineStr">
        <is>
          <t>CANTIDAD</t>
        </is>
      </c>
    </row>
    <row r="36">
      <c r="A36" t="inlineStr">
        <is>
          <t>AFP</t>
        </is>
      </c>
      <c r="B36" t="n">
        <v>5</v>
      </c>
    </row>
    <row r="37">
      <c r="A37" t="inlineStr">
        <is>
          <t>ONP</t>
        </is>
      </c>
      <c r="B37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Discoteca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213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