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<sst xmlns="http://schemas.openxmlformats.org/spreadsheetml/2006/main" count="129" uniqueCount="90">
  <si>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KARAOKE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</si>
  <si>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</si>
  <si>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</si>
  <si>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</si>
  <si>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</si>
  <si>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</si>
  <si>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</si>
  <si>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</si>
  <si>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</si>
  <si>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</si>
  <si>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</si>
  <si>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</si>
  <si>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Pichela de licor</t>
  </si>
  <si>
    <t>08:30</t>
  </si>
  <si>
    <t>B001-10001</t>
  </si>
  <si>
    <t>Yape</t>
  </si>
  <si>
    <t>Cerveza x6</t>
  </si>
  <si>
    <t>09:15</t>
  </si>
  <si>
    <t>B001-10002</t>
  </si>
  <si>
    <t>Plin</t>
  </si>
  <si>
    <t>Gaseosa</t>
  </si>
  <si>
    <t>09:45</t>
  </si>
  <si>
    <t>B001-10003</t>
  </si>
  <si>
    <t>Combo cumpleaños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</si>
  <si>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</si>
  <si>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</si>
  <si>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</si>
  <si>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</si>
  <si>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</si>
  <si>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</si>
  <si>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</si>
  <si>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</si>
  <si>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</si>
  <si>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Entrada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</si>
  <si>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</si>
  <si>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</si>
  <si>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</si>
  <si>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</si>
  <si>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</si>
  <si>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</si>
  <si>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</si>
  <si>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</si>
  <si>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</si>
  <si>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Snacks</t>
  </si>
  <si>
    <t>15:30</t>
  </si>
  <si>
    <t>B001-10012</t>
  </si>
  <si>
    <t>Sala por hora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</si>
  <si>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</si>
  <si>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</si>
  <si>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</si>
  <si>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</si>
  <si>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</si>
  <si>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</si>
  <si>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</si>
  <si>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</si>
  <si>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</si>
  <si>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</si>
  <si>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</si>
  <si>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</si>
  <si>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</si>
  <si>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</si>
  <si>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</si>
  <si>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</si>
  <si>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</si>
  <si>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</si>
  <si>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</si>
  <si>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</si>
  <si>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</si>
  <si>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</si>
  <si>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</si>
  <si>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</si>
  <si>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</si>
  <si>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</si>
  <si>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</si>
  <si>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</si>
  <si>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</si>
  <si>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</si>
  <si>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</si>
  <si>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KARAOKE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</si>
  <si>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</si>
  <si>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</si>
  <si>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</si>
  <si>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</si>
  <si>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</si>
  <si>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</si>
  <si>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</si>
  <si>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</si>
  <si>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</si>
  <si>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</si>
  <si>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Karaoke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</si>
</sst>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17.33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4.21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35.92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38.21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23</v>
      </c>
      <c r="E9" s="5">
        <v>47.07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20</v>
      </c>
      <c r="E10" s="7">
        <v>26.29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12</v>
      </c>
      <c r="E11" s="5">
        <v>5.52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4.01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20</v>
      </c>
      <c r="E13" s="5">
        <v>55.93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33</v>
      </c>
      <c r="E14" s="7">
        <v>49.67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20</v>
      </c>
      <c r="E15" s="5">
        <v>55.34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43</v>
      </c>
      <c r="E16" s="7">
        <v>31.28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44.61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12</v>
      </c>
      <c r="E18" s="7">
        <v>17.5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23</v>
      </c>
      <c r="E19" s="5">
        <v>48.32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46</v>
      </c>
      <c r="E20" s="7">
        <v>3.37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23</v>
      </c>
      <c r="E21" s="5">
        <v>7.91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23</v>
      </c>
      <c r="E22" s="7">
        <v>15.52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20</v>
      </c>
      <c r="E23" s="5">
        <v>9.22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46</v>
      </c>
      <c r="E24" s="7">
        <v>32.62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8</v>
      </c>
      <c r="C8" s="7">
        <f>20*B8</f>
      </c>
    </row>
    <row r="9" spans="1:3" x14ac:dyDescent="0.25">
      <c r="A9" s="4" t="s">
        <v>70</v>
      </c>
      <c r="B9" s="8">
        <v>2</v>
      </c>
      <c r="C9" s="5">
        <f>10*B9</f>
      </c>
    </row>
    <row r="10" spans="1:3" x14ac:dyDescent="0.25">
      <c r="A10" s="6" t="s">
        <v>71</v>
      </c>
      <c r="B10" s="9">
        <v>10</v>
      </c>
      <c r="C10" s="7">
        <f>5*B10</f>
      </c>
    </row>
    <row r="11" spans="1:3" x14ac:dyDescent="0.25">
      <c r="A11" s="4" t="s">
        <v>72</v>
      </c>
      <c r="B11" s="8">
        <v>12</v>
      </c>
      <c r="C11" s="5">
        <f>2*B11</f>
      </c>
    </row>
    <row r="12" spans="1:3" x14ac:dyDescent="0.25">
      <c r="A12" s="6" t="s">
        <v>73</v>
      </c>
      <c r="B12" s="9">
        <v>16</v>
      </c>
      <c r="C12" s="7">
        <f>1*B12</f>
      </c>
    </row>
    <row r="13" spans="1:3" x14ac:dyDescent="0.25">
      <c r="A13" s="4" t="s">
        <v>74</v>
      </c>
      <c r="B13" s="8">
        <v>19</v>
      </c>
      <c r="C13" s="5">
        <f>0.5*B13</f>
      </c>
    </row>
    <row r="14" spans="1:3" x14ac:dyDescent="0.25">
      <c r="A14" s="6" t="s">
        <v>75</v>
      </c>
      <c r="B14" s="9">
        <v>15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{BE8844AF-C7E9-49E8-9AE7-35126EFA488B}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8844AF-C7E9-49E8-9AE7-35126EFA488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