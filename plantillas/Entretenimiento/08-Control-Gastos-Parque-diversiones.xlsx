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Gast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name val="Calibri"/>
      <b val="1"/>
      <color rgb="00FFFFFF"/>
      <sz val="18"/>
    </font>
    <font>
      <name val="Calibri"/>
      <i val="1"/>
      <color rgb="00FFFFFF"/>
      <sz val="11"/>
    </font>
    <font>
      <name val="Calibri"/>
      <b val="1"/>
      <color rgb="00FFFFFF"/>
      <sz val="9"/>
    </font>
    <font>
      <name val="Calibri"/>
      <b val="1"/>
      <color rgb="00FFFFFF"/>
      <sz val="16"/>
    </font>
    <font>
      <name val="Calibri"/>
      <b val="1"/>
      <color rgb="00FFFFFF"/>
      <sz val="13"/>
    </font>
    <font>
      <name val="Calibri"/>
      <b val="1"/>
      <color rgb="00FFFFFF"/>
      <sz val="10"/>
    </font>
    <font>
      <name val="Calibri"/>
      <color rgb="002D3436"/>
      <sz val="10"/>
    </font>
    <font>
      <name val="Calibri"/>
      <b val="1"/>
      <color rgb="001B1464"/>
      <sz val="11"/>
    </font>
  </fonts>
  <fills count="8">
    <fill>
      <patternFill/>
    </fill>
    <fill>
      <patternFill patternType="gray125"/>
    </fill>
    <fill>
      <patternFill patternType="solid">
        <fgColor rgb="001B1464"/>
        <bgColor rgb="001B1464"/>
      </patternFill>
    </fill>
    <fill>
      <patternFill patternType="solid">
        <fgColor rgb="00E17055"/>
        <bgColor rgb="00E17055"/>
      </patternFill>
    </fill>
    <fill>
      <patternFill patternType="solid">
        <fgColor rgb="00D63031"/>
        <bgColor rgb="00D63031"/>
      </patternFill>
    </fill>
    <fill>
      <patternFill patternType="solid">
        <fgColor rgb="00FDCB6E"/>
        <bgColor rgb="00FDCB6E"/>
      </patternFill>
    </fill>
    <fill>
      <patternFill patternType="solid">
        <fgColor rgb="0000B894"/>
        <bgColor rgb="0000B894"/>
      </patternFill>
    </fill>
    <fill>
      <patternFill patternType="solid">
        <fgColor rgb="00F0FFF0"/>
        <bgColor rgb="00F0FFF0"/>
      </patternFill>
    </fill>
  </fills>
  <borders count="2">
    <border>
      <left/>
      <right/>
      <top/>
      <bottom/>
      <diagonal/>
    </border>
    <border>
      <left style="thin">
        <color rgb="00DFE6E9"/>
      </left>
      <right style="thin">
        <color rgb="00DFE6E9"/>
      </right>
      <top style="thin">
        <color rgb="00DFE6E9"/>
      </top>
      <bottom style="thin">
        <color rgb="00DFE6E9"/>
      </bottom>
    </border>
  </borders>
  <cellStyleXfs count="1">
    <xf numFmtId="0" fontId="0" fillId="0" borderId="0"/>
  </cellStyleXfs>
  <cellXfs count="2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0" applyAlignment="1" pivotButton="0" quotePrefix="0" xfId="0">
      <alignment horizontal="center" vertical="center" wrapText="1"/>
    </xf>
    <xf numFmtId="0" fontId="3" fillId="4" borderId="0" applyAlignment="1" pivotButton="0" quotePrefix="0" xfId="0">
      <alignment horizontal="center" vertical="center" wrapText="1"/>
    </xf>
    <xf numFmtId="0" fontId="3" fillId="5" borderId="0" applyAlignment="1" pivotButton="0" quotePrefix="0" xfId="0">
      <alignment horizontal="center" vertical="center" wrapText="1"/>
    </xf>
    <xf numFmtId="0" fontId="3" fillId="6" borderId="0" applyAlignment="1" pivotButton="0" quotePrefix="0" xfId="0">
      <alignment horizontal="center" vertical="center" wrapText="1"/>
    </xf>
    <xf numFmtId="0" fontId="4" fillId="3" borderId="0" applyAlignment="1" pivotButton="0" quotePrefix="0" xfId="0">
      <alignment horizontal="center" vertical="center" wrapText="1"/>
    </xf>
    <xf numFmtId="0" fontId="4" fillId="4" borderId="0" applyAlignment="1" pivotButton="0" quotePrefix="0" xfId="0">
      <alignment horizontal="center" vertical="center" wrapText="1"/>
    </xf>
    <xf numFmtId="0" fontId="4" fillId="5" borderId="0" applyAlignment="1" pivotButton="0" quotePrefix="0" xfId="0">
      <alignment horizontal="center" vertical="center" wrapText="1"/>
    </xf>
    <xf numFmtId="0" fontId="4" fillId="6" borderId="0" applyAlignment="1" pivotButton="0" quotePrefix="0" xfId="0">
      <alignment horizontal="center" vertical="center" wrapText="1"/>
    </xf>
    <xf numFmtId="0" fontId="5" fillId="3" borderId="0" applyAlignment="1" pivotButton="0" quotePrefix="0" xfId="0">
      <alignment horizontal="left" vertical="center"/>
    </xf>
    <xf numFmtId="0" fontId="6" fillId="2" borderId="1" applyAlignment="1" pivotButton="0" quotePrefix="0" xfId="0">
      <alignment horizontal="center" vertical="center" wrapText="1"/>
    </xf>
    <xf numFmtId="0" fontId="7" fillId="7" borderId="1" applyAlignment="1" pivotButton="0" quotePrefix="0" xfId="0">
      <alignment horizontal="center" vertical="center" wrapText="1"/>
    </xf>
    <xf numFmtId="3" fontId="7" fillId="7" borderId="1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center" vertical="center" wrapText="1"/>
    </xf>
    <xf numFmtId="3" fontId="7" fillId="0" borderId="1" applyAlignment="1" pivotButton="0" quotePrefix="0" xfId="0">
      <alignment horizontal="center" vertical="center" wrapText="1"/>
    </xf>
    <xf numFmtId="0" fontId="8" fillId="0" borderId="0" pivotButton="0" quotePrefix="0" xfId="0"/>
    <xf numFmtId="4" fontId="8" fillId="0" borderId="0" pivotButton="0" quotePrefix="0" xfId="0"/>
    <xf numFmtId="0" fontId="6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Gastos por Registro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'Gastos'!D9</f>
            </strRef>
          </tx>
          <spPr>
            <a:solidFill>
              <a:srgbClr val="E17055"/>
            </a:solidFill>
            <a:ln>
              <a:prstDash val="solid"/>
            </a:ln>
          </spPr>
          <cat>
            <numRef>
              <f>'Gastos'!$B$10:$B$24</f>
            </numRef>
          </cat>
          <val>
            <numRef>
              <f>'Gastos'!$D$10:$D$24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Gastos por Categoria</a:t>
            </a:r>
          </a:p>
        </rich>
      </tx>
    </title>
    <plotArea>
      <pieChart>
        <varyColors val="1"/>
        <ser>
          <idx val="0"/>
          <order val="0"/>
          <tx>
            <strRef>
              <f>'Gastos'!B41</f>
            </strRef>
          </tx>
          <spPr>
            <a:ln>
              <a:prstDash val="solid"/>
            </a:ln>
          </spPr>
          <dPt>
            <idx val="0"/>
            <spPr>
              <a:solidFill>
                <a:srgbClr val="00B894"/>
              </a:solidFill>
              <a:ln>
                <a:prstDash val="solid"/>
              </a:ln>
            </spPr>
          </dPt>
          <dPt>
            <idx val="1"/>
            <spPr>
              <a:solidFill>
                <a:srgbClr val="0984E3"/>
              </a:solidFill>
              <a:ln>
                <a:prstDash val="solid"/>
              </a:ln>
            </spPr>
          </dPt>
          <dPt>
            <idx val="2"/>
            <spPr>
              <a:solidFill>
                <a:srgbClr val="E17055"/>
              </a:solidFill>
              <a:ln>
                <a:prstDash val="solid"/>
              </a:ln>
            </spPr>
          </dPt>
          <dPt>
            <idx val="3"/>
            <spPr>
              <a:solidFill>
                <a:srgbClr val="6C5CE7"/>
              </a:solidFill>
              <a:ln>
                <a:prstDash val="solid"/>
              </a:ln>
            </spPr>
          </dPt>
          <dPt>
            <idx val="4"/>
            <spPr>
              <a:solidFill>
                <a:srgbClr val="00CEC9"/>
              </a:solidFill>
              <a:ln>
                <a:prstDash val="solid"/>
              </a:ln>
            </spPr>
          </dPt>
          <dPt>
            <idx val="5"/>
            <spPr>
              <a:solidFill>
                <a:srgbClr val="FD79A8"/>
              </a:solidFill>
              <a:ln>
                <a:prstDash val="solid"/>
              </a:ln>
            </spPr>
          </dPt>
          <dPt>
            <idx val="6"/>
            <spPr>
              <a:solidFill>
                <a:srgbClr val="FDCB6E"/>
              </a:solidFill>
              <a:ln>
                <a:prstDash val="solid"/>
              </a:ln>
            </spPr>
          </dPt>
          <dPt>
            <idx val="7"/>
            <spPr>
              <a:solidFill>
                <a:srgbClr val="D63031"/>
              </a:solidFill>
              <a:ln>
                <a:prstDash val="solid"/>
              </a:ln>
            </spPr>
          </dPt>
          <dPt>
            <idx val="8"/>
            <spPr>
              <a:solidFill>
                <a:srgbClr val="5352ED"/>
              </a:solidFill>
              <a:ln>
                <a:prstDash val="solid"/>
              </a:ln>
            </spPr>
          </dPt>
          <dPt>
            <idx val="9"/>
            <spPr>
              <a:solidFill>
                <a:srgbClr val="00897B"/>
              </a:solidFill>
              <a:ln>
                <a:prstDash val="solid"/>
              </a:ln>
            </spPr>
          </dPt>
          <dPt>
            <idx val="10"/>
            <spPr>
              <a:solidFill>
                <a:srgbClr val="E84393"/>
              </a:solidFill>
              <a:ln>
                <a:prstDash val="solid"/>
              </a:ln>
            </spPr>
          </dPt>
          <dPt>
            <idx val="11"/>
            <spPr>
              <a:solidFill>
                <a:srgbClr val="00B4D8"/>
              </a:solidFill>
              <a:ln>
                <a:prstDash val="solid"/>
              </a:ln>
            </spPr>
          </dPt>
          <cat>
            <numRef>
              <f>'Gastos'!$A$42:$A$47</f>
            </numRef>
          </cat>
          <val>
            <numRef>
              <f>'Gastos'!$B$42:$B$47</f>
            </numRef>
          </val>
        </ser>
        <dLbls>
          <showVal val="0"/>
          <showCatName val="1"/>
          <showPercent val="1"/>
        </dLbls>
        <firstSliceAng val="0"/>
      </pieChart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26</row>
      <rowOff>0</rowOff>
    </from>
    <ext cx="6480000" cy="396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3</col>
      <colOff>0</colOff>
      <row>40</row>
      <rowOff>0</rowOff>
    </from>
    <ext cx="5040000" cy="36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tabColor rgb="00E17055"/>
    <outlinePr summaryBelow="1" summaryRight="1"/>
    <pageSetUpPr/>
  </sheetPr>
  <dimension ref="A1:H47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 ht="45" customHeight="1">
      <c r="A1" s="1" t="inlineStr">
        <is>
          <t>CONTROL DE GASTOS — PARQUE DIVERSIONES</t>
        </is>
      </c>
    </row>
    <row r="2" ht="28" customHeight="1">
      <c r="A2" s="2" t="inlineStr">
        <is>
          <t>Registro detallado por categoria con analisis mensual</t>
        </is>
      </c>
    </row>
    <row r="4">
      <c r="A4" s="3" t="inlineStr">
        <is>
          <t>GASTOS MES S/</t>
        </is>
      </c>
      <c r="C4" s="4" t="inlineStr">
        <is>
          <t>FIJOS S/</t>
        </is>
      </c>
      <c r="E4" s="5" t="inlineStr">
        <is>
          <t>VARIABLES S/</t>
        </is>
      </c>
      <c r="G4" s="6" t="inlineStr">
        <is>
          <t>PRESUPUESTO S/</t>
        </is>
      </c>
    </row>
    <row r="5" ht="32" customHeight="1">
      <c r="A5" s="7" t="n">
        <v>60000</v>
      </c>
      <c r="C5" s="8" t="n">
        <v>36000</v>
      </c>
      <c r="E5" s="9" t="n">
        <v>24000</v>
      </c>
      <c r="G5" s="10" t="n">
        <v>72000</v>
      </c>
    </row>
    <row r="8" ht="30" customHeight="1">
      <c r="A8" s="11" t="inlineStr">
        <is>
          <t xml:space="preserve">  REGISTRO DE GASTOS</t>
        </is>
      </c>
    </row>
    <row r="9">
      <c r="A9" s="12" t="inlineStr">
        <is>
          <t>FECHA</t>
        </is>
      </c>
      <c r="B9" s="12" t="inlineStr">
        <is>
          <t>CATEGORIA</t>
        </is>
      </c>
      <c r="C9" s="12" t="inlineStr">
        <is>
          <t>DESCRIPCION</t>
        </is>
      </c>
      <c r="D9" s="12" t="inlineStr">
        <is>
          <t>MONTO</t>
        </is>
      </c>
      <c r="E9" s="12" t="inlineStr">
        <is>
          <t>METODO</t>
        </is>
      </c>
      <c r="F9" s="12" t="inlineStr">
        <is>
          <t>COMPROBANTE</t>
        </is>
      </c>
      <c r="G9" s="12" t="inlineStr">
        <is>
          <t>IGV</t>
        </is>
      </c>
      <c r="H9" s="12" t="inlineStr">
        <is>
          <t>OBSERVACION</t>
        </is>
      </c>
    </row>
    <row r="10">
      <c r="A10" s="13" t="inlineStr">
        <is>
          <t>1/01/2025</t>
        </is>
      </c>
      <c r="B10" s="13" t="inlineStr">
        <is>
          <t>Personal</t>
        </is>
      </c>
      <c r="C10" s="13" t="inlineStr">
        <is>
          <t>Gasto 1</t>
        </is>
      </c>
      <c r="D10" s="14" t="n">
        <v>58</v>
      </c>
      <c r="E10" s="13" t="inlineStr">
        <is>
          <t>Efectivo</t>
        </is>
      </c>
      <c r="F10" s="13" t="inlineStr">
        <is>
          <t>Recibo</t>
        </is>
      </c>
      <c r="G10" s="14">
        <f>D10*0.18</f>
        <v/>
      </c>
      <c r="H10" s="13" t="inlineStr"/>
    </row>
    <row r="11">
      <c r="A11" s="15" t="inlineStr">
        <is>
          <t>2/01/2025</t>
        </is>
      </c>
      <c r="B11" s="15" t="inlineStr">
        <is>
          <t>Alquiler</t>
        </is>
      </c>
      <c r="C11" s="15" t="inlineStr">
        <is>
          <t>Gasto 2</t>
        </is>
      </c>
      <c r="D11" s="16" t="n">
        <v>1447</v>
      </c>
      <c r="E11" s="15" t="inlineStr">
        <is>
          <t>Transferencia</t>
        </is>
      </c>
      <c r="F11" s="15" t="inlineStr">
        <is>
          <t>Sin comp.</t>
        </is>
      </c>
      <c r="G11" s="16">
        <f>D11*0.18</f>
        <v/>
      </c>
      <c r="H11" s="15" t="inlineStr"/>
    </row>
    <row r="12">
      <c r="A12" s="13" t="inlineStr">
        <is>
          <t>3/01/2025</t>
        </is>
      </c>
      <c r="B12" s="13" t="inlineStr">
        <is>
          <t>Insumos</t>
        </is>
      </c>
      <c r="C12" s="13" t="inlineStr">
        <is>
          <t>Gasto 3</t>
        </is>
      </c>
      <c r="D12" s="14" t="n">
        <v>976</v>
      </c>
      <c r="E12" s="13" t="inlineStr">
        <is>
          <t>Yape</t>
        </is>
      </c>
      <c r="F12" s="13" t="inlineStr">
        <is>
          <t>Factura</t>
        </is>
      </c>
      <c r="G12" s="14">
        <f>D12*0.18</f>
        <v/>
      </c>
      <c r="H12" s="13" t="inlineStr"/>
    </row>
    <row r="13">
      <c r="A13" s="15" t="inlineStr">
        <is>
          <t>4/01/2025</t>
        </is>
      </c>
      <c r="B13" s="15" t="inlineStr">
        <is>
          <t>Servicios</t>
        </is>
      </c>
      <c r="C13" s="15" t="inlineStr">
        <is>
          <t>Gasto 4</t>
        </is>
      </c>
      <c r="D13" s="16" t="n">
        <v>684</v>
      </c>
      <c r="E13" s="15" t="inlineStr">
        <is>
          <t>Transferencia</t>
        </is>
      </c>
      <c r="F13" s="15" t="inlineStr">
        <is>
          <t>Recibo</t>
        </is>
      </c>
      <c r="G13" s="16">
        <f>D13*0.18</f>
        <v/>
      </c>
      <c r="H13" s="15" t="inlineStr"/>
    </row>
    <row r="14">
      <c r="A14" s="13" t="inlineStr">
        <is>
          <t>5/01/2025</t>
        </is>
      </c>
      <c r="B14" s="13" t="inlineStr">
        <is>
          <t>Marketing</t>
        </is>
      </c>
      <c r="C14" s="13" t="inlineStr">
        <is>
          <t>Gasto 5</t>
        </is>
      </c>
      <c r="D14" s="14" t="n">
        <v>752</v>
      </c>
      <c r="E14" s="13" t="inlineStr">
        <is>
          <t>Plin</t>
        </is>
      </c>
      <c r="F14" s="13" t="inlineStr">
        <is>
          <t>Recibo</t>
        </is>
      </c>
      <c r="G14" s="14">
        <f>D14*0.18</f>
        <v/>
      </c>
      <c r="H14" s="13" t="inlineStr"/>
    </row>
    <row r="15">
      <c r="A15" s="15" t="inlineStr">
        <is>
          <t>6/01/2025</t>
        </is>
      </c>
      <c r="B15" s="15" t="inlineStr">
        <is>
          <t>Transporte</t>
        </is>
      </c>
      <c r="C15" s="15" t="inlineStr">
        <is>
          <t>Gasto 6</t>
        </is>
      </c>
      <c r="D15" s="16" t="n">
        <v>1451</v>
      </c>
      <c r="E15" s="15" t="inlineStr">
        <is>
          <t>Efectivo</t>
        </is>
      </c>
      <c r="F15" s="15" t="inlineStr">
        <is>
          <t>Boleta</t>
        </is>
      </c>
      <c r="G15" s="16">
        <f>D15*0.18</f>
        <v/>
      </c>
      <c r="H15" s="15" t="inlineStr"/>
    </row>
    <row r="16">
      <c r="A16" s="13" t="inlineStr">
        <is>
          <t>7/01/2025</t>
        </is>
      </c>
      <c r="B16" s="13" t="inlineStr">
        <is>
          <t>Personal</t>
        </is>
      </c>
      <c r="C16" s="13" t="inlineStr">
        <is>
          <t>Gasto 7</t>
        </is>
      </c>
      <c r="D16" s="14" t="n">
        <v>335</v>
      </c>
      <c r="E16" s="13" t="inlineStr">
        <is>
          <t>Efectivo</t>
        </is>
      </c>
      <c r="F16" s="13" t="inlineStr">
        <is>
          <t>Boleta</t>
        </is>
      </c>
      <c r="G16" s="14">
        <f>D16*0.18</f>
        <v/>
      </c>
      <c r="H16" s="13" t="inlineStr"/>
    </row>
    <row r="17">
      <c r="A17" s="15" t="inlineStr">
        <is>
          <t>8/01/2025</t>
        </is>
      </c>
      <c r="B17" s="15" t="inlineStr">
        <is>
          <t>Alquiler</t>
        </is>
      </c>
      <c r="C17" s="15" t="inlineStr">
        <is>
          <t>Gasto 8</t>
        </is>
      </c>
      <c r="D17" s="16" t="n">
        <v>574</v>
      </c>
      <c r="E17" s="15" t="inlineStr">
        <is>
          <t>Efectivo</t>
        </is>
      </c>
      <c r="F17" s="15" t="inlineStr">
        <is>
          <t>Factura</t>
        </is>
      </c>
      <c r="G17" s="16">
        <f>D17*0.18</f>
        <v/>
      </c>
      <c r="H17" s="15" t="inlineStr"/>
    </row>
    <row r="18">
      <c r="A18" s="13" t="inlineStr">
        <is>
          <t>9/01/2025</t>
        </is>
      </c>
      <c r="B18" s="13" t="inlineStr">
        <is>
          <t>Insumos</t>
        </is>
      </c>
      <c r="C18" s="13" t="inlineStr">
        <is>
          <t>Gasto 9</t>
        </is>
      </c>
      <c r="D18" s="14" t="n">
        <v>748</v>
      </c>
      <c r="E18" s="13" t="inlineStr">
        <is>
          <t>Yape</t>
        </is>
      </c>
      <c r="F18" s="13" t="inlineStr">
        <is>
          <t>Factura</t>
        </is>
      </c>
      <c r="G18" s="14">
        <f>D18*0.18</f>
        <v/>
      </c>
      <c r="H18" s="13" t="inlineStr"/>
    </row>
    <row r="19">
      <c r="A19" s="15" t="inlineStr">
        <is>
          <t>10/01/2025</t>
        </is>
      </c>
      <c r="B19" s="15" t="inlineStr">
        <is>
          <t>Servicios</t>
        </is>
      </c>
      <c r="C19" s="15" t="inlineStr">
        <is>
          <t>Gasto 10</t>
        </is>
      </c>
      <c r="D19" s="16" t="n">
        <v>1401</v>
      </c>
      <c r="E19" s="15" t="inlineStr">
        <is>
          <t>Yape</t>
        </is>
      </c>
      <c r="F19" s="15" t="inlineStr">
        <is>
          <t>Sin comp.</t>
        </is>
      </c>
      <c r="G19" s="16">
        <f>D19*0.18</f>
        <v/>
      </c>
      <c r="H19" s="15" t="inlineStr"/>
    </row>
    <row r="20">
      <c r="A20" s="13" t="inlineStr">
        <is>
          <t>11/01/2025</t>
        </is>
      </c>
      <c r="B20" s="13" t="inlineStr">
        <is>
          <t>Marketing</t>
        </is>
      </c>
      <c r="C20" s="13" t="inlineStr">
        <is>
          <t>Gasto 11</t>
        </is>
      </c>
      <c r="D20" s="14" t="n">
        <v>1108</v>
      </c>
      <c r="E20" s="13" t="inlineStr">
        <is>
          <t>Yape</t>
        </is>
      </c>
      <c r="F20" s="13" t="inlineStr">
        <is>
          <t>Factura</t>
        </is>
      </c>
      <c r="G20" s="14">
        <f>D20*0.18</f>
        <v/>
      </c>
      <c r="H20" s="13" t="inlineStr"/>
    </row>
    <row r="21">
      <c r="A21" s="15" t="inlineStr">
        <is>
          <t>12/01/2025</t>
        </is>
      </c>
      <c r="B21" s="15" t="inlineStr">
        <is>
          <t>Transporte</t>
        </is>
      </c>
      <c r="C21" s="15" t="inlineStr">
        <is>
          <t>Gasto 12</t>
        </is>
      </c>
      <c r="D21" s="16" t="n">
        <v>581</v>
      </c>
      <c r="E21" s="15" t="inlineStr">
        <is>
          <t>Yape</t>
        </is>
      </c>
      <c r="F21" s="15" t="inlineStr">
        <is>
          <t>Recibo</t>
        </is>
      </c>
      <c r="G21" s="16">
        <f>D21*0.18</f>
        <v/>
      </c>
      <c r="H21" s="15" t="inlineStr"/>
    </row>
    <row r="22">
      <c r="A22" s="13" t="inlineStr">
        <is>
          <t>13/01/2025</t>
        </is>
      </c>
      <c r="B22" s="13" t="inlineStr">
        <is>
          <t>Personal</t>
        </is>
      </c>
      <c r="C22" s="13" t="inlineStr">
        <is>
          <t>Gasto 13</t>
        </is>
      </c>
      <c r="D22" s="14" t="n">
        <v>389</v>
      </c>
      <c r="E22" s="13" t="inlineStr">
        <is>
          <t>Plin</t>
        </is>
      </c>
      <c r="F22" s="13" t="inlineStr">
        <is>
          <t>Sin comp.</t>
        </is>
      </c>
      <c r="G22" s="14">
        <f>D22*0.18</f>
        <v/>
      </c>
      <c r="H22" s="13" t="inlineStr"/>
    </row>
    <row r="23">
      <c r="A23" s="15" t="inlineStr">
        <is>
          <t>14/01/2025</t>
        </is>
      </c>
      <c r="B23" s="15" t="inlineStr">
        <is>
          <t>Alquiler</t>
        </is>
      </c>
      <c r="C23" s="15" t="inlineStr">
        <is>
          <t>Gasto 14</t>
        </is>
      </c>
      <c r="D23" s="16" t="n">
        <v>1407</v>
      </c>
      <c r="E23" s="15" t="inlineStr">
        <is>
          <t>Efectivo</t>
        </is>
      </c>
      <c r="F23" s="15" t="inlineStr">
        <is>
          <t>Factura</t>
        </is>
      </c>
      <c r="G23" s="16">
        <f>D23*0.18</f>
        <v/>
      </c>
      <c r="H23" s="15" t="inlineStr"/>
    </row>
    <row r="24">
      <c r="A24" s="13" t="inlineStr">
        <is>
          <t>15/01/2025</t>
        </is>
      </c>
      <c r="B24" s="13" t="inlineStr">
        <is>
          <t>Insumos</t>
        </is>
      </c>
      <c r="C24" s="13" t="inlineStr">
        <is>
          <t>Gasto 15</t>
        </is>
      </c>
      <c r="D24" s="14" t="n">
        <v>863</v>
      </c>
      <c r="E24" s="13" t="inlineStr">
        <is>
          <t>Yape</t>
        </is>
      </c>
      <c r="F24" s="13" t="inlineStr">
        <is>
          <t>Boleta</t>
        </is>
      </c>
      <c r="G24" s="14">
        <f>D24*0.18</f>
        <v/>
      </c>
      <c r="H24" s="13" t="inlineStr"/>
    </row>
    <row r="25">
      <c r="A25" s="17" t="inlineStr">
        <is>
          <t>TOTALES</t>
        </is>
      </c>
      <c r="D25" s="18">
        <f>SUM(D10:D24)</f>
        <v/>
      </c>
      <c r="G25" s="18">
        <f>SUM(G10:G24)</f>
        <v/>
      </c>
    </row>
    <row r="41">
      <c r="A41" s="19" t="inlineStr">
        <is>
          <t>CATEGORIA</t>
        </is>
      </c>
      <c r="B41" s="19" t="inlineStr">
        <is>
          <t>TOTAL</t>
        </is>
      </c>
    </row>
    <row r="42">
      <c r="A42" t="inlineStr">
        <is>
          <t>Personal</t>
        </is>
      </c>
      <c r="B42" t="n">
        <v>2955</v>
      </c>
    </row>
    <row r="43">
      <c r="A43" t="inlineStr">
        <is>
          <t>Alquiler</t>
        </is>
      </c>
      <c r="B43" t="n">
        <v>2075</v>
      </c>
    </row>
    <row r="44">
      <c r="A44" t="inlineStr">
        <is>
          <t>Insumos</t>
        </is>
      </c>
      <c r="B44" t="n">
        <v>1237</v>
      </c>
    </row>
    <row r="45">
      <c r="A45" t="inlineStr">
        <is>
          <t>Servicios</t>
        </is>
      </c>
      <c r="B45" t="n">
        <v>3806</v>
      </c>
    </row>
    <row r="46">
      <c r="A46" t="inlineStr">
        <is>
          <t>Marketing</t>
        </is>
      </c>
      <c r="B46" t="n">
        <v>7705</v>
      </c>
    </row>
    <row r="47">
      <c r="A47" t="inlineStr">
        <is>
          <t>Transporte</t>
        </is>
      </c>
      <c r="B47" t="n">
        <v>2855</v>
      </c>
    </row>
  </sheetData>
  <mergeCells count="11">
    <mergeCell ref="A4:B4"/>
    <mergeCell ref="G4:H4"/>
    <mergeCell ref="E4:F4"/>
    <mergeCell ref="A2:H2"/>
    <mergeCell ref="C5:D5"/>
    <mergeCell ref="A5:B5"/>
    <mergeCell ref="G5:H5"/>
    <mergeCell ref="E5:F5"/>
    <mergeCell ref="A1:H1"/>
    <mergeCell ref="A8:H8"/>
    <mergeCell ref="C4:D4"/>
  </mergeCells>
  <dataValidations count="2">
    <dataValidation sqref="E10:E59" showDropDown="0" showInputMessage="0" showErrorMessage="0" allowBlank="1" error="Seleccione una opción válida" type="list">
      <formula1>"Efectivo,Yape,Plin,Transferencia"</formula1>
    </dataValidation>
    <dataValidation sqref="F10:F59" showDropDown="0" showInputMessage="0" showErrorMessage="0" allowBlank="1" error="Seleccione una opción válida" type="list">
      <formula1>"Factura,Boleta,Recibo,Sin comp."</formula1>
    </dataValidation>
  </dataValidations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2026-09-01T00:21:52Z</dcterms:created>
  <dcterms:modified xsi:type="dcterms:W3CDTF">2026-09-01T00:21:52Z</dcterms:modified>
</cp:coreProperties>
</file>