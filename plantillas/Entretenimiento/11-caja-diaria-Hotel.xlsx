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<sst xmlns="http://schemas.openxmlformats.org/spreadsheetml/2006/main" count="129" uniqueCount="90">
  <si>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HOTEL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</si>
  <si>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</si>
  <si>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</si>
  <si>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</si>
  <si>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</si>
  <si>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</si>
  <si>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</si>
  <si>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</si>
  <si>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</si>
  <si>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</si>
  <si>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</si>
  <si>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</si>
  <si>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Habitación simple</t>
  </si>
  <si>
    <t>08:30</t>
  </si>
  <si>
    <t>B001-10001</t>
  </si>
  <si>
    <t>Yape</t>
  </si>
  <si>
    <t>Habitación doble</t>
  </si>
  <si>
    <t>09:15</t>
  </si>
  <si>
    <t>B001-10002</t>
  </si>
  <si>
    <t>Plin</t>
  </si>
  <si>
    <t>09:45</t>
  </si>
  <si>
    <t>B001-10003</t>
  </si>
  <si>
    <t>Salón de eventos</t>
  </si>
  <si>
    <t>10:20</t>
  </si>
  <si>
    <t>B001-10004</t>
  </si>
  <si>
    <t>Tarjeta</t>
  </si>
  <si>
    <t>11:00</t>
  </si>
  <si>
    <t>B001-10005</t>
  </si>
  <si>
    <t>Desayuno buffet</t>
  </si>
  <si>
    <t>11:40</t>
  </si>
  <si>
    <t>B001-10006</t>
  </si>
  <si>
    <t>12:15</t>
  </si>
  <si>
    <t>B001-10007</t>
  </si>
  <si>
    <t>12:50</t>
  </si>
  <si>
    <t>B001-10008</t>
  </si>
  <si>
    <t>Transferencia</t>
  </si>
  <si>
    <t>Habitación suite</t>
  </si>
  <si>
    <t>13:30</t>
  </si>
  <si>
    <t>B001-10009</t>
  </si>
  <si>
    <t>Almuerzo buffet</t>
  </si>
  <si>
    <t>14:10</t>
  </si>
  <si>
    <t>B001-10010</t>
  </si>
  <si>
    <t>Sala de reuniones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</si>
  <si>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</si>
  <si>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</si>
  <si>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</si>
  <si>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</si>
  <si>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</si>
  <si>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</si>
  <si>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</si>
  <si>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</si>
  <si>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</si>
  <si>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</si>
  <si>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</si>
  <si>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</si>
  <si>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</si>
  <si>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</si>
  <si>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</si>
  <si>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</si>
  <si>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</si>
  <si>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</si>
  <si>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</si>
  <si>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</si>
  <si>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</si>
  <si>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</si>
  <si>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</si>
  <si>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</si>
  <si>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</si>
  <si>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</si>
  <si>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</si>
  <si>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</si>
  <si>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</si>
  <si>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</si>
  <si>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</si>
  <si>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</si>
  <si>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</si>
  <si>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</si>
  <si>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</si>
  <si>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HOTEL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</si>
  <si>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</si>
  <si>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</si>
  <si>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</si>
  <si>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</si>
  <si>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</si>
  <si>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</si>
  <si>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</si>
  <si>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</si>
  <si>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</si>
  <si>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</si>
  <si>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Hotel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</si>
</sst>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40.11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22.15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12</v>
      </c>
      <c r="E7" s="5">
        <v>4.9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19.76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30.59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26.97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28</v>
      </c>
      <c r="E11" s="5">
        <v>9.12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12</v>
      </c>
      <c r="E12" s="7">
        <v>16.94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22.31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46.96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42</v>
      </c>
      <c r="E15" s="5">
        <v>52.32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28</v>
      </c>
      <c r="E16" s="7">
        <v>8.05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36</v>
      </c>
      <c r="E17" s="5">
        <v>50.59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22</v>
      </c>
      <c r="E18" s="7">
        <v>38.37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42</v>
      </c>
      <c r="E19" s="5">
        <v>53.03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16</v>
      </c>
      <c r="E20" s="7">
        <v>36.17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34.18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28</v>
      </c>
      <c r="E22" s="7">
        <v>31.98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28</v>
      </c>
      <c r="E23" s="5">
        <v>53.31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22</v>
      </c>
      <c r="E24" s="7">
        <v>29.45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4</v>
      </c>
      <c r="C5" s="5">
        <f>200*B5</f>
      </c>
    </row>
    <row r="6" spans="1:3" x14ac:dyDescent="0.25">
      <c r="A6" s="6" t="s">
        <v>67</v>
      </c>
      <c r="B6" s="9">
        <v>3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13</v>
      </c>
      <c r="C8" s="7">
        <f>20*B8</f>
      </c>
    </row>
    <row r="9" spans="1:3" x14ac:dyDescent="0.25">
      <c r="A9" s="4" t="s">
        <v>70</v>
      </c>
      <c r="B9" s="8">
        <v>1</v>
      </c>
      <c r="C9" s="5">
        <f>10*B9</f>
      </c>
    </row>
    <row r="10" spans="1:3" x14ac:dyDescent="0.25">
      <c r="A10" s="6" t="s">
        <v>71</v>
      </c>
      <c r="B10" s="9">
        <v>15</v>
      </c>
      <c r="C10" s="7">
        <f>5*B10</f>
      </c>
    </row>
    <row r="11" spans="1:3" x14ac:dyDescent="0.25">
      <c r="A11" s="4" t="s">
        <v>72</v>
      </c>
      <c r="B11" s="8">
        <v>9</v>
      </c>
      <c r="C11" s="5">
        <f>2*B11</f>
      </c>
    </row>
    <row r="12" spans="1:3" x14ac:dyDescent="0.25">
      <c r="A12" s="6" t="s">
        <v>73</v>
      </c>
      <c r="B12" s="9">
        <v>2</v>
      </c>
      <c r="C12" s="7">
        <f>1*B12</f>
      </c>
    </row>
    <row r="13" spans="1:3" x14ac:dyDescent="0.25">
      <c r="A13" s="4" t="s">
        <v>74</v>
      </c>
      <c r="B13" s="8">
        <v>14</v>
      </c>
      <c r="C13" s="5">
        <f>0.5*B13</f>
      </c>
    </row>
    <row r="14" spans="1:3" x14ac:dyDescent="0.25">
      <c r="A14" s="6" t="s">
        <v>75</v>
      </c>
      <c r="B14" s="9">
        <v>4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{660A6556-CEF2-4158-9CF9-F4DA68466BBA}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0A6556-CEF2-4158-9CF9-F4DA68466BBA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