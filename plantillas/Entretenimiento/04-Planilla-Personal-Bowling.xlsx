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'Planilla'!$A$40:$A$41</f>
            </numRef>
          </cat>
          <val>
            <numRef>
              <f>'Planilla'!$B$40:$B$41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'Planilla'!$D$10:$D$22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'Planilla'!$E$10:$E$22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'Planilla'!$F$10:$F$22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'Planilla'!$G$10:$G$22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'Planilla'!$H$10:$H$22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'Planilla'!$I$10:$I$22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'Planilla'!$A$10:$A$22</f>
            </numRef>
          </cat>
          <val>
            <numRef>
              <f>'Planilla'!$J$10:$J$22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38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42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BOWLING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13</v>
      </c>
      <c r="C5" s="8" t="n">
        <v>988</v>
      </c>
      <c r="E5" s="9" t="n">
        <v>88</v>
      </c>
      <c r="G5" s="10" t="n">
        <v>1076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78997778</t>
        </is>
      </c>
      <c r="C10" s="13" t="inlineStr">
        <is>
          <t>Gerente</t>
        </is>
      </c>
      <c r="D10" s="14" t="n">
        <v>-38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55802484</t>
        </is>
      </c>
      <c r="C11" s="15" t="inlineStr">
        <is>
          <t>Vendedor</t>
        </is>
      </c>
      <c r="D11" s="16" t="n">
        <v>283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100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18093125</t>
        </is>
      </c>
      <c r="C12" s="13" t="inlineStr">
        <is>
          <t>Cajero</t>
        </is>
      </c>
      <c r="D12" s="14" t="n">
        <v>-12</v>
      </c>
      <c r="E12" s="14">
        <f>D12*0.10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37603320</t>
        </is>
      </c>
      <c r="C13" s="15" t="inlineStr">
        <is>
          <t>Almacenero</t>
        </is>
      </c>
      <c r="D13" s="16" t="n">
        <v>225</v>
      </c>
      <c r="E13" s="16">
        <f>D13*0.13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82277496</t>
        </is>
      </c>
      <c r="C14" s="13" t="inlineStr">
        <is>
          <t>Contador</t>
        </is>
      </c>
      <c r="D14" s="14" t="n">
        <v>-31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150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46122292</t>
        </is>
      </c>
      <c r="C15" s="15" t="inlineStr">
        <is>
          <t>Motorizado</t>
        </is>
      </c>
      <c r="D15" s="16" t="n">
        <v>122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47668616</t>
        </is>
      </c>
      <c r="C16" s="13" t="inlineStr">
        <is>
          <t>Seguridad</t>
        </is>
      </c>
      <c r="D16" s="14" t="n">
        <v>-64</v>
      </c>
      <c r="E16" s="14">
        <f>D16*0.13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36227960</t>
        </is>
      </c>
      <c r="C17" s="15" t="inlineStr">
        <is>
          <t>Limpieza</t>
        </is>
      </c>
      <c r="D17" s="16" t="n">
        <v>151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62292103</t>
        </is>
      </c>
      <c r="C18" s="13" t="inlineStr">
        <is>
          <t>Auxiliar</t>
        </is>
      </c>
      <c r="D18" s="14" t="n">
        <v>361</v>
      </c>
      <c r="E18" s="14">
        <f>D18*0.10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58906123</t>
        </is>
      </c>
      <c r="C19" s="15" t="inlineStr">
        <is>
          <t>Supervisor</t>
        </is>
      </c>
      <c r="D19" s="16" t="n">
        <v>453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100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59617353</t>
        </is>
      </c>
      <c r="C20" s="13" t="inlineStr">
        <is>
          <t>Analista</t>
        </is>
      </c>
      <c r="D20" s="14" t="n">
        <v>396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97435155</t>
        </is>
      </c>
      <c r="C21" s="15" t="inlineStr">
        <is>
          <t>Tecnico</t>
        </is>
      </c>
      <c r="D21" s="16" t="n">
        <v>-69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85660820</t>
        </is>
      </c>
      <c r="C22" s="13" t="inlineStr">
        <is>
          <t>Operario</t>
        </is>
      </c>
      <c r="D22" s="14" t="n">
        <v>219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100</v>
      </c>
      <c r="L22" s="14">
        <f>D22+F22+H22+I22+J22+K22</f>
        <v/>
      </c>
      <c r="M22" s="14">
        <f>E22</f>
        <v/>
      </c>
    </row>
    <row r="23">
      <c r="A23" s="17" t="inlineStr">
        <is>
          <t>TOTALES</t>
        </is>
      </c>
      <c r="D23" s="18">
        <f>SUM(D10:D22)</f>
        <v/>
      </c>
      <c r="E23" s="18">
        <f>SUM(E10:E22)</f>
        <v/>
      </c>
      <c r="F23" s="18">
        <f>SUM(F10:F22)</f>
        <v/>
      </c>
      <c r="G23" s="18">
        <f>SUM(G10:G22)</f>
        <v/>
      </c>
      <c r="H23" s="18">
        <f>SUM(H10:H22)</f>
        <v/>
      </c>
      <c r="I23" s="18">
        <f>SUM(I10:I22)</f>
        <v/>
      </c>
      <c r="J23" s="18">
        <f>SUM(J10:J22)</f>
        <v/>
      </c>
      <c r="K23" s="18">
        <f>SUM(K10:K22)</f>
        <v/>
      </c>
      <c r="L23" s="18">
        <f>SUM(L10:L22)</f>
        <v/>
      </c>
      <c r="M23" s="18">
        <f>SUM(M10:M22)</f>
        <v/>
      </c>
    </row>
    <row r="39">
      <c r="A39" s="19" t="inlineStr">
        <is>
          <t>REGIMEN</t>
        </is>
      </c>
      <c r="B39" s="19" t="inlineStr">
        <is>
          <t>CANTIDAD</t>
        </is>
      </c>
    </row>
    <row r="40">
      <c r="A40" t="inlineStr">
        <is>
          <t>AFP</t>
        </is>
      </c>
      <c r="B40" t="n">
        <v>6</v>
      </c>
    </row>
    <row r="41">
      <c r="A41" t="inlineStr">
        <is>
          <t>ONP</t>
        </is>
      </c>
      <c r="B41" t="n">
        <v>7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Bowling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76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2026-09-01T00:21:50Z</dcterms:created>
  <dcterms:modified xsi:type="dcterms:W3CDTF">2026-09-01T00:21:50Z</dcterms:modified>
</cp:coreProperties>
</file>