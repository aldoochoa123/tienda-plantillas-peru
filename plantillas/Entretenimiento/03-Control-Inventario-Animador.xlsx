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9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D63031"/>
        <bgColor rgb="00D63031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4" fillId="7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3" fontId="7" fillId="8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FCDD2"/>
          <bgColor rgb="00FFCDD2"/>
        </patternFill>
      </fill>
    </dxf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Stock por Producto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'Inventario'!D9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'Inventario'!$B$10:$B$17</f>
            </numRef>
          </cat>
          <val>
            <numRef>
              <f>'Inventario'!$D$10:$D$17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Valor por Categoria</a:t>
            </a:r>
          </a:p>
        </rich>
      </tx>
    </title>
    <plotArea>
      <pieChart>
        <varyColors val="1"/>
        <ser>
          <idx val="0"/>
          <order val="0"/>
          <tx>
            <strRef>
              <f>'Inventario'!B34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'Inventario'!$A$35:$A$42</f>
            </numRef>
          </cat>
          <val>
            <numRef>
              <f>'Inventario'!$B$35:$B$42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Rotacion de Inventario</a:t>
            </a:r>
          </a:p>
        </rich>
      </tx>
    </title>
    <plotArea>
      <lineChart>
        <grouping val="standard"/>
        <ser>
          <idx val="0"/>
          <order val="0"/>
          <tx>
            <strRef>
              <f>'Inventario'!F34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'Inventario'!$E$35:$E$46</f>
            </numRef>
          </cat>
          <val>
            <numRef>
              <f>'Inventario'!$F$35:$F$46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47</row>
      <rowOff>0</rowOff>
    </from>
    <ext cx="576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45" customHeight="1">
      <c r="A1" s="1" t="inlineStr">
        <is>
          <t>CONTROL DE INVENTARIO — ANIMADOR</t>
        </is>
      </c>
    </row>
    <row r="2" ht="28" customHeight="1">
      <c r="A2" s="2" t="inlineStr">
        <is>
          <t>Stock minimo, alertas visuales y valorizacion automatica</t>
        </is>
      </c>
    </row>
    <row r="4">
      <c r="A4" s="3" t="inlineStr">
        <is>
          <t>PRODUCTOS</t>
        </is>
      </c>
      <c r="C4" s="4" t="inlineStr">
        <is>
          <t>STOCK TOTAL</t>
        </is>
      </c>
      <c r="E4" s="5" t="inlineStr">
        <is>
          <t>STOCK BAJO</t>
        </is>
      </c>
      <c r="G4" s="6" t="inlineStr">
        <is>
          <t>VALOR S/</t>
        </is>
      </c>
    </row>
    <row r="5" ht="32" customHeight="1">
      <c r="A5" s="7" t="n">
        <v>8</v>
      </c>
      <c r="C5" s="8" t="n">
        <v>400</v>
      </c>
      <c r="E5" s="9" t="n">
        <v>3</v>
      </c>
      <c r="G5" s="10" t="n">
        <v>4800</v>
      </c>
    </row>
    <row r="8" ht="30" customHeight="1">
      <c r="A8" s="11" t="inlineStr">
        <is>
          <t xml:space="preserve">  INVENTARIO ACTUAL</t>
        </is>
      </c>
    </row>
    <row r="9">
      <c r="A9" s="12" t="inlineStr">
        <is>
          <t>CODIGO</t>
        </is>
      </c>
      <c r="B9" s="12" t="inlineStr">
        <is>
          <t>PRODUCTO</t>
        </is>
      </c>
      <c r="C9" s="12" t="inlineStr">
        <is>
          <t>CATEGORIA</t>
        </is>
      </c>
      <c r="D9" s="12" t="inlineStr">
        <is>
          <t>STOCK</t>
        </is>
      </c>
      <c r="E9" s="12" t="inlineStr">
        <is>
          <t>MINIMO</t>
        </is>
      </c>
      <c r="F9" s="12" t="inlineStr">
        <is>
          <t>P.COMPRA</t>
        </is>
      </c>
      <c r="G9" s="12" t="inlineStr">
        <is>
          <t>P.VENTA</t>
        </is>
      </c>
      <c r="H9" s="12" t="inlineStr">
        <is>
          <t>VALOR</t>
        </is>
      </c>
      <c r="I9" s="12" t="inlineStr">
        <is>
          <t>ESTADO</t>
        </is>
      </c>
    </row>
    <row r="10">
      <c r="A10" s="13" t="inlineStr">
        <is>
          <t>P001</t>
        </is>
      </c>
      <c r="B10" s="13" t="inlineStr">
        <is>
          <t>Fiesta infantil</t>
        </is>
      </c>
      <c r="C10" s="13" t="inlineStr">
        <is>
          <t>Granos</t>
        </is>
      </c>
      <c r="D10" s="13" t="n">
        <v>12</v>
      </c>
      <c r="E10" s="13" t="n">
        <v>29</v>
      </c>
      <c r="F10" s="14" t="n">
        <v>23.97</v>
      </c>
      <c r="G10" s="14" t="n">
        <v>30.83</v>
      </c>
      <c r="H10" s="14">
        <f>D10*F10</f>
        <v/>
      </c>
      <c r="I10" s="13">
        <f>IF(D10&lt;=E10,"STOCK BAJO","OK")</f>
        <v/>
      </c>
    </row>
    <row r="11">
      <c r="A11" s="15" t="inlineStr">
        <is>
          <t>P002</t>
        </is>
      </c>
      <c r="B11" s="15" t="inlineStr">
        <is>
          <t>Evento corporativo</t>
        </is>
      </c>
      <c r="C11" s="15" t="inlineStr">
        <is>
          <t>Lacteos</t>
        </is>
      </c>
      <c r="D11" s="15" t="n">
        <v>48</v>
      </c>
      <c r="E11" s="15" t="n">
        <v>48</v>
      </c>
      <c r="F11" s="16" t="n">
        <v>20.76</v>
      </c>
      <c r="G11" s="16" t="n">
        <v>31.61</v>
      </c>
      <c r="H11" s="16">
        <f>D11*F11</f>
        <v/>
      </c>
      <c r="I11" s="15">
        <f>IF(D11&lt;=E11,"STOCK BAJO","OK")</f>
        <v/>
      </c>
    </row>
    <row r="12">
      <c r="A12" s="13" t="inlineStr">
        <is>
          <t>P003</t>
        </is>
      </c>
      <c r="B12" s="13" t="inlineStr">
        <is>
          <t>Show</t>
        </is>
      </c>
      <c r="C12" s="13" t="inlineStr">
        <is>
          <t>Bebidas</t>
        </is>
      </c>
      <c r="D12" s="13" t="n">
        <v>32</v>
      </c>
      <c r="E12" s="13" t="n">
        <v>44</v>
      </c>
      <c r="F12" s="14" t="n">
        <v>6.9</v>
      </c>
      <c r="G12" s="14" t="n">
        <v>10.37</v>
      </c>
      <c r="H12" s="14">
        <f>D12*F12</f>
        <v/>
      </c>
      <c r="I12" s="13">
        <f>IF(D12&lt;=E12,"STOCK BAJO","OK")</f>
        <v/>
      </c>
    </row>
    <row r="13">
      <c r="A13" s="15" t="inlineStr">
        <is>
          <t>P004</t>
        </is>
      </c>
      <c r="B13" s="15" t="inlineStr">
        <is>
          <t>Magia</t>
        </is>
      </c>
      <c r="C13" s="15" t="inlineStr">
        <is>
          <t>Conservas</t>
        </is>
      </c>
      <c r="D13" s="15" t="n">
        <v>114</v>
      </c>
      <c r="E13" s="15" t="n">
        <v>50</v>
      </c>
      <c r="F13" s="16" t="n">
        <v>18.36</v>
      </c>
      <c r="G13" s="16" t="n">
        <v>28.11</v>
      </c>
      <c r="H13" s="16">
        <f>D13*F13</f>
        <v/>
      </c>
      <c r="I13" s="15">
        <f>IF(D13&lt;=E13,"STOCK BAJO","OK")</f>
        <v/>
      </c>
    </row>
    <row r="14">
      <c r="A14" s="13" t="inlineStr">
        <is>
          <t>P005</t>
        </is>
      </c>
      <c r="B14" s="13" t="inlineStr">
        <is>
          <t>Payasadas</t>
        </is>
      </c>
      <c r="C14" s="13" t="inlineStr">
        <is>
          <t>Limpieza</t>
        </is>
      </c>
      <c r="D14" s="13" t="n">
        <v>58</v>
      </c>
      <c r="E14" s="13" t="n">
        <v>29</v>
      </c>
      <c r="F14" s="14" t="n">
        <v>4.44</v>
      </c>
      <c r="G14" s="14" t="n">
        <v>6.85</v>
      </c>
      <c r="H14" s="14">
        <f>D14*F14</f>
        <v/>
      </c>
      <c r="I14" s="13">
        <f>IF(D14&lt;=E14,"STOCK BAJO","OK")</f>
        <v/>
      </c>
    </row>
    <row r="15">
      <c r="A15" s="15" t="inlineStr">
        <is>
          <t>P006</t>
        </is>
      </c>
      <c r="B15" s="15" t="inlineStr">
        <is>
          <t>Globoflexia</t>
        </is>
      </c>
      <c r="C15" s="15" t="inlineStr">
        <is>
          <t>Snacks</t>
        </is>
      </c>
      <c r="D15" s="15" t="n">
        <v>108</v>
      </c>
      <c r="E15" s="15" t="n">
        <v>33</v>
      </c>
      <c r="F15" s="16" t="n">
        <v>5.12</v>
      </c>
      <c r="G15" s="16" t="n">
        <v>7.81</v>
      </c>
      <c r="H15" s="16">
        <f>D15*F15</f>
        <v/>
      </c>
      <c r="I15" s="15">
        <f>IF(D15&lt;=E15,"STOCK BAJO","OK")</f>
        <v/>
      </c>
    </row>
    <row r="16">
      <c r="A16" s="13" t="inlineStr">
        <is>
          <t>P007</t>
        </is>
      </c>
      <c r="B16" s="13" t="inlineStr">
        <is>
          <t>Pintura cara</t>
        </is>
      </c>
      <c r="C16" s="13" t="inlineStr">
        <is>
          <t>Panaderia</t>
        </is>
      </c>
      <c r="D16" s="13" t="n">
        <v>64</v>
      </c>
      <c r="E16" s="13" t="n">
        <v>24</v>
      </c>
      <c r="F16" s="14" t="n">
        <v>13.14</v>
      </c>
      <c r="G16" s="14" t="n">
        <v>19.74</v>
      </c>
      <c r="H16" s="14">
        <f>D16*F16</f>
        <v/>
      </c>
      <c r="I16" s="13">
        <f>IF(D16&lt;=E16,"STOCK BAJO","OK")</f>
        <v/>
      </c>
    </row>
    <row r="17">
      <c r="A17" s="15" t="inlineStr">
        <is>
          <t>P008</t>
        </is>
      </c>
      <c r="B17" s="15" t="inlineStr">
        <is>
          <t>DJ</t>
        </is>
      </c>
      <c r="C17" s="15" t="inlineStr">
        <is>
          <t>Cafe</t>
        </is>
      </c>
      <c r="D17" s="15" t="n">
        <v>120</v>
      </c>
      <c r="E17" s="15" t="n">
        <v>37</v>
      </c>
      <c r="F17" s="16" t="n">
        <v>16.39</v>
      </c>
      <c r="G17" s="16" t="n">
        <v>26.06</v>
      </c>
      <c r="H17" s="16">
        <f>D17*F17</f>
        <v/>
      </c>
      <c r="I17" s="15">
        <f>IF(D17&lt;=E17,"STOCK BAJO","OK")</f>
        <v/>
      </c>
    </row>
    <row r="18">
      <c r="A18" s="17" t="inlineStr">
        <is>
          <t>TOTALES</t>
        </is>
      </c>
      <c r="D18" s="18">
        <f>SUM(D10:D17)</f>
        <v/>
      </c>
      <c r="H18" s="18">
        <f>SUM(H10:H17)</f>
        <v/>
      </c>
    </row>
    <row r="34">
      <c r="A34" s="19" t="inlineStr">
        <is>
          <t>CATEGORIA</t>
        </is>
      </c>
      <c r="B34" s="19" t="inlineStr">
        <is>
          <t>VALOR</t>
        </is>
      </c>
      <c r="E34" s="19" t="inlineStr">
        <is>
          <t>MES</t>
        </is>
      </c>
      <c r="F34" s="19" t="inlineStr">
        <is>
          <t>ROTACION</t>
        </is>
      </c>
    </row>
    <row r="35">
      <c r="A35" t="inlineStr">
        <is>
          <t>Granos</t>
        </is>
      </c>
      <c r="B35" t="n">
        <v>2761</v>
      </c>
      <c r="E35" t="inlineStr">
        <is>
          <t>Ene</t>
        </is>
      </c>
      <c r="F35" t="n">
        <v>1.7</v>
      </c>
    </row>
    <row r="36">
      <c r="A36" t="inlineStr">
        <is>
          <t>Lacteos</t>
        </is>
      </c>
      <c r="B36" t="n">
        <v>729</v>
      </c>
      <c r="E36" t="inlineStr">
        <is>
          <t>Feb</t>
        </is>
      </c>
      <c r="F36" t="n">
        <v>3</v>
      </c>
    </row>
    <row r="37">
      <c r="A37" t="inlineStr">
        <is>
          <t>Bebidas</t>
        </is>
      </c>
      <c r="B37" t="n">
        <v>2231</v>
      </c>
      <c r="E37" t="inlineStr">
        <is>
          <t>Mar</t>
        </is>
      </c>
      <c r="F37" t="n">
        <v>3.1</v>
      </c>
    </row>
    <row r="38">
      <c r="A38" t="inlineStr">
        <is>
          <t>Conservas</t>
        </is>
      </c>
      <c r="B38" t="n">
        <v>1995</v>
      </c>
      <c r="E38" t="inlineStr">
        <is>
          <t>Abr</t>
        </is>
      </c>
      <c r="F38" t="n">
        <v>2.4</v>
      </c>
    </row>
    <row r="39">
      <c r="A39" t="inlineStr">
        <is>
          <t>Limpieza</t>
        </is>
      </c>
      <c r="B39" t="n">
        <v>2430</v>
      </c>
      <c r="E39" t="inlineStr">
        <is>
          <t>May</t>
        </is>
      </c>
      <c r="F39" t="n">
        <v>2.6</v>
      </c>
    </row>
    <row r="40">
      <c r="A40" t="inlineStr">
        <is>
          <t>Snacks</t>
        </is>
      </c>
      <c r="B40" t="n">
        <v>1181</v>
      </c>
      <c r="E40" t="inlineStr">
        <is>
          <t>Jun</t>
        </is>
      </c>
      <c r="F40" t="n">
        <v>2</v>
      </c>
    </row>
    <row r="41">
      <c r="A41" t="inlineStr">
        <is>
          <t>Panaderia</t>
        </is>
      </c>
      <c r="B41" t="n">
        <v>1168</v>
      </c>
      <c r="E41" t="inlineStr">
        <is>
          <t>Jul</t>
        </is>
      </c>
      <c r="F41" t="n">
        <v>3.3</v>
      </c>
    </row>
    <row r="42">
      <c r="A42" t="inlineStr">
        <is>
          <t>Cafe</t>
        </is>
      </c>
      <c r="B42" t="n">
        <v>2314</v>
      </c>
      <c r="E42" t="inlineStr">
        <is>
          <t>Ago</t>
        </is>
      </c>
      <c r="F42" t="n">
        <v>3</v>
      </c>
    </row>
    <row r="43">
      <c r="E43" t="inlineStr">
        <is>
          <t>Sep</t>
        </is>
      </c>
      <c r="F43" t="n">
        <v>1.6</v>
      </c>
    </row>
    <row r="44">
      <c r="E44" t="inlineStr">
        <is>
          <t>Oct</t>
        </is>
      </c>
      <c r="F44" t="n">
        <v>2.7</v>
      </c>
    </row>
    <row r="45">
      <c r="E45" t="inlineStr">
        <is>
          <t>Nov</t>
        </is>
      </c>
      <c r="F45" t="n">
        <v>3.1</v>
      </c>
    </row>
    <row r="46">
      <c r="E46" t="inlineStr">
        <is>
          <t>Dic</t>
        </is>
      </c>
      <c r="F46" t="n">
        <v>3.4</v>
      </c>
    </row>
  </sheetData>
  <mergeCells count="11">
    <mergeCell ref="A4:B4"/>
    <mergeCell ref="G4:H4"/>
    <mergeCell ref="E4:F4"/>
    <mergeCell ref="A2:I2"/>
    <mergeCell ref="C5:D5"/>
    <mergeCell ref="A5:B5"/>
    <mergeCell ref="A1:I1"/>
    <mergeCell ref="E5:F5"/>
    <mergeCell ref="G5:H5"/>
    <mergeCell ref="A8:I8"/>
    <mergeCell ref="C4:D4"/>
  </mergeCells>
  <conditionalFormatting sqref="D10:D17">
    <cfRule type="cellIs" priority="1" operator="lessThanOrEqual" dxfId="0">
      <formula>30</formula>
    </cfRule>
    <cfRule type="dataBar" priority="4">
      <dataBar>
        <cfvo type="min"/>
        <cfvo type="max"/>
        <color rgb="00E17055"/>
      </dataBar>
    </cfRule>
  </conditionalFormatting>
  <conditionalFormatting sqref="I10:I17">
    <cfRule type="cellIs" priority="2" operator="equal" dxfId="0">
      <formula>"STOCK BAJO"</formula>
    </cfRule>
    <cfRule type="cellIs" priority="3" operator="equal" dxfId="1">
      <formula>"OK"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2026-09-01T00:21:55Z</dcterms:created>
  <dcterms:modified xsi:type="dcterms:W3CDTF">2026-09-01T00:21:55Z</dcterms:modified>
</cp:coreProperties>
</file>