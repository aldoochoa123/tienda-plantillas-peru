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Avance por Proyecto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'Proyectos'!G9</f>
            </strRef>
          </tx>
          <spPr>
            <a:solidFill>
              <a:srgbClr val="5352ED"/>
            </a:solidFill>
            <a:ln>
              <a:prstDash val="solid"/>
            </a:ln>
          </spPr>
          <cat>
            <numRef>
              <f>'Proyectos'!$A$10:$A$15</f>
            </numRef>
          </cat>
          <val>
            <numRef>
              <f>'Proyectos'!$G$10:$G$15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Proyectos</a:t>
            </a:r>
          </a:p>
        </rich>
      </tx>
    </title>
    <plotArea>
      <pieChart>
        <varyColors val="1"/>
        <ser>
          <idx val="0"/>
          <order val="0"/>
          <tx>
            <strRef>
              <f>'Proyectos'!B31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'Proyectos'!$A$32:$A$34</f>
            </numRef>
          </cat>
          <val>
            <numRef>
              <f>'Proyectos'!$B$32:$B$34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45" customHeight="1">
      <c r="A1" s="1" t="inlineStr">
        <is>
          <t>GESTION DE PROYECTOS — KARAOKE</t>
        </is>
      </c>
    </row>
    <row r="2" ht="28" customHeight="1">
      <c r="A2" s="2" t="inlineStr">
        <is>
          <t>Seguimiento de tareas, avance visual y presupuesto</t>
        </is>
      </c>
    </row>
    <row r="4">
      <c r="A4" s="3" t="inlineStr">
        <is>
          <t>PROYECTOS</t>
        </is>
      </c>
      <c r="C4" s="4" t="inlineStr">
        <is>
          <t>EN PROCESO</t>
        </is>
      </c>
      <c r="E4" s="5" t="inlineStr">
        <is>
          <t>COMPLETADOS</t>
        </is>
      </c>
      <c r="G4" s="6" t="inlineStr">
        <is>
          <t>PRESUPUESTO S/</t>
        </is>
      </c>
    </row>
    <row r="5" ht="32" customHeight="1">
      <c r="A5" s="7" t="n">
        <v>6</v>
      </c>
      <c r="C5" s="8" t="n">
        <v>5</v>
      </c>
      <c r="E5" s="9" t="n">
        <v>2</v>
      </c>
      <c r="G5" s="10" t="n">
        <v>85314</v>
      </c>
    </row>
    <row r="8" ht="30" customHeight="1">
      <c r="A8" s="11" t="inlineStr">
        <is>
          <t xml:space="preserve">  TABLA DE PROYECTOS</t>
        </is>
      </c>
    </row>
    <row r="9">
      <c r="A9" s="12" t="inlineStr">
        <is>
          <t>PROYECTO</t>
        </is>
      </c>
      <c r="B9" s="12" t="inlineStr">
        <is>
          <t>RESPONSABLE</t>
        </is>
      </c>
      <c r="C9" s="12" t="inlineStr">
        <is>
          <t>INICIO</t>
        </is>
      </c>
      <c r="D9" s="12" t="inlineStr">
        <is>
          <t>FIN</t>
        </is>
      </c>
      <c r="E9" s="12" t="inlineStr">
        <is>
          <t>PRESUPUESTO</t>
        </is>
      </c>
      <c r="F9" s="12" t="inlineStr">
        <is>
          <t>EJECUTADO</t>
        </is>
      </c>
      <c r="G9" s="12" t="inlineStr">
        <is>
          <t>% AVANCE</t>
        </is>
      </c>
      <c r="H9" s="12" t="inlineStr">
        <is>
          <t>ESTADO</t>
        </is>
      </c>
    </row>
    <row r="10">
      <c r="A10" s="13" t="inlineStr">
        <is>
          <t>Proyecto A</t>
        </is>
      </c>
      <c r="B10" s="13" t="inlineStr">
        <is>
          <t>Juan</t>
        </is>
      </c>
      <c r="C10" s="13" t="inlineStr">
        <is>
          <t>01/01/2025</t>
        </is>
      </c>
      <c r="D10" s="13" t="inlineStr">
        <is>
          <t>30/04/2025</t>
        </is>
      </c>
      <c r="E10" s="14" t="n">
        <v>11076</v>
      </c>
      <c r="F10" s="14" t="n">
        <v>10449</v>
      </c>
      <c r="G10" s="15">
        <f>IF(E10&gt;0,F10/E10,0)</f>
        <v/>
      </c>
      <c r="H10" s="13" t="inlineStr">
        <is>
          <t>Pendiente</t>
        </is>
      </c>
    </row>
    <row r="11">
      <c r="A11" s="16" t="inlineStr">
        <is>
          <t>Proyecto B</t>
        </is>
      </c>
      <c r="B11" s="16" t="inlineStr">
        <is>
          <t>Maria</t>
        </is>
      </c>
      <c r="C11" s="16" t="inlineStr">
        <is>
          <t>01/02/2025</t>
        </is>
      </c>
      <c r="D11" s="16" t="inlineStr">
        <is>
          <t>30/05/2025</t>
        </is>
      </c>
      <c r="E11" s="17" t="n">
        <v>23803</v>
      </c>
      <c r="F11" s="17" t="n">
        <v>11378</v>
      </c>
      <c r="G11" s="18">
        <f>IF(E11&gt;0,F11/E11,0)</f>
        <v/>
      </c>
      <c r="H11" s="16" t="inlineStr">
        <is>
          <t>Pendiente</t>
        </is>
      </c>
    </row>
    <row r="12">
      <c r="A12" s="13" t="inlineStr">
        <is>
          <t>Proyecto C</t>
        </is>
      </c>
      <c r="B12" s="13" t="inlineStr">
        <is>
          <t>Carlos</t>
        </is>
      </c>
      <c r="C12" s="13" t="inlineStr">
        <is>
          <t>01/03/2025</t>
        </is>
      </c>
      <c r="D12" s="13" t="inlineStr">
        <is>
          <t>30/06/2025</t>
        </is>
      </c>
      <c r="E12" s="14" t="n">
        <v>23419</v>
      </c>
      <c r="F12" s="14" t="n">
        <v>19214</v>
      </c>
      <c r="G12" s="15">
        <f>IF(E12&gt;0,F12/E12,0)</f>
        <v/>
      </c>
      <c r="H12" s="13" t="inlineStr">
        <is>
          <t>En proceso</t>
        </is>
      </c>
    </row>
    <row r="13">
      <c r="A13" s="16" t="inlineStr">
        <is>
          <t>Proyecto D</t>
        </is>
      </c>
      <c r="B13" s="16" t="inlineStr">
        <is>
          <t>Ana</t>
        </is>
      </c>
      <c r="C13" s="16" t="inlineStr">
        <is>
          <t>01/04/2025</t>
        </is>
      </c>
      <c r="D13" s="16" t="inlineStr">
        <is>
          <t>30/07/2025</t>
        </is>
      </c>
      <c r="E13" s="17" t="n">
        <v>13791</v>
      </c>
      <c r="F13" s="17" t="n">
        <v>9731</v>
      </c>
      <c r="G13" s="18">
        <f>IF(E13&gt;0,F13/E13,0)</f>
        <v/>
      </c>
      <c r="H13" s="16" t="inlineStr">
        <is>
          <t>Completado</t>
        </is>
      </c>
    </row>
    <row r="14">
      <c r="A14" s="13" t="inlineStr">
        <is>
          <t>Proyecto E</t>
        </is>
      </c>
      <c r="B14" s="13" t="inlineStr">
        <is>
          <t>Pedro</t>
        </is>
      </c>
      <c r="C14" s="13" t="inlineStr">
        <is>
          <t>01/05/2025</t>
        </is>
      </c>
      <c r="D14" s="13" t="inlineStr">
        <is>
          <t>30/08/2025</t>
        </is>
      </c>
      <c r="E14" s="14" t="n">
        <v>14953</v>
      </c>
      <c r="F14" s="14" t="n">
        <v>10107</v>
      </c>
      <c r="G14" s="15">
        <f>IF(E14&gt;0,F14/E14,0)</f>
        <v/>
      </c>
      <c r="H14" s="13" t="inlineStr">
        <is>
          <t>Pendiente</t>
        </is>
      </c>
    </row>
    <row r="15">
      <c r="A15" s="16" t="inlineStr">
        <is>
          <t>Proyecto F</t>
        </is>
      </c>
      <c r="B15" s="16" t="inlineStr">
        <is>
          <t>Laura</t>
        </is>
      </c>
      <c r="C15" s="16" t="inlineStr">
        <is>
          <t>01/06/2025</t>
        </is>
      </c>
      <c r="D15" s="16" t="inlineStr">
        <is>
          <t>30/09/2025</t>
        </is>
      </c>
      <c r="E15" s="17" t="n">
        <v>10069</v>
      </c>
      <c r="F15" s="17" t="n">
        <v>5966</v>
      </c>
      <c r="G15" s="18">
        <f>IF(E15&gt;0,F15/E15,0)</f>
        <v/>
      </c>
      <c r="H15" s="16" t="inlineStr">
        <is>
          <t>En proceso</t>
        </is>
      </c>
    </row>
    <row r="31">
      <c r="A31" s="19" t="inlineStr">
        <is>
          <t>ESTADO</t>
        </is>
      </c>
      <c r="B31" s="19" t="inlineStr">
        <is>
          <t>CANTIDAD</t>
        </is>
      </c>
    </row>
    <row r="32">
      <c r="A32" t="inlineStr">
        <is>
          <t>En proceso</t>
        </is>
      </c>
      <c r="B32" t="n">
        <v>1</v>
      </c>
    </row>
    <row r="33">
      <c r="A33" t="inlineStr">
        <is>
          <t>Completado</t>
        </is>
      </c>
      <c r="B33" t="n">
        <v>4</v>
      </c>
    </row>
    <row r="34">
      <c r="A34" t="inlineStr">
        <is>
          <t>Pendiente</t>
        </is>
      </c>
      <c r="B34" t="n">
        <v>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G10:G15">
    <cfRule type="cellIs" priority="1" operator="greaterThan" dxfId="0">
      <formula>0.8</formula>
    </cfRule>
    <cfRule type="cellIs" priority="2" operator="lessThan" dxfId="1">
      <formula>0.3</formula>
    </cfRule>
    <cfRule type="dataBar" priority="5">
      <dataBar>
        <cfvo type="min"/>
        <cfvo type="max"/>
        <color rgb="005352ED"/>
      </dataBar>
    </cfRule>
  </conditionalFormatting>
  <conditionalFormatting sqref="H10:H15">
    <cfRule type="cellIs" priority="3" operator="equal" dxfId="0">
      <formula>"Completado"</formula>
    </cfRule>
    <cfRule type="cellIs" priority="4" operator="equal" dxfId="2">
      <formula>"Pendiente"</formula>
    </cfRule>
  </conditionalFormatting>
  <dataValidations count="1">
    <dataValidation sqref="H10:H29" showDropDown="0" showInputMessage="0" showErrorMessage="0" allowBlank="1" error="Seleccione una opción válida" type="list">
      <formula1>"En proceso,Completado,Pendiente,Cancelado"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2026-09-01T00:21:48Z</dcterms:created>
  <dcterms:modified xsi:type="dcterms:W3CDTF">2026-09-01T00:21:48Z</dcterms:modified>
</cp:coreProperties>
</file>