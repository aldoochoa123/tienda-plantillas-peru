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lanilla" state="visible" r:id="rId4"/>
  </sheets>
  <calcPr calcId="171027"/>
</workbook>
</file>

<file path=xl/sharedStrings.xml><?xml version="1.0" encoding="utf-8"?>
<sst xmlns="http://schemas.openxmlformats.org/spreadsheetml/2006/main" count="75" uniqueCount="55">
  <si>
    <t>PLANILLA DE PERSONAL — DISCOTECA</t>
  </si>
  <si>
    <t>Sueldo, AFP/ONP, EsSalud y neto a pagar (RMV S/ 1,130 — vigente)</t>
  </si>
  <si>
    <t>RMV 2026: S/ 1,130 · Asignación familiar: 10% RMV = S/ 113 · EsSalud empleador: 9%</t>
  </si>
  <si>
    <t>N°</t>
  </si>
  <si>
    <t>Apellidos y Nombres</t>
  </si>
  <si>
    <t>DNI</t>
  </si>
  <si>
    <t>Cargo</t>
  </si>
  <si>
    <t>Sueldo Bás.</t>
  </si>
  <si>
    <t>Días</t>
  </si>
  <si>
    <t>Asig. Fam.</t>
  </si>
  <si>
    <t>Total Ingresos</t>
  </si>
  <si>
    <t>Sistema</t>
  </si>
  <si>
    <t>Descuento %</t>
  </si>
  <si>
    <t>Descuento S/</t>
  </si>
  <si>
    <t>EsSalud 9%</t>
  </si>
  <si>
    <t>Neto a Pagar</t>
  </si>
  <si>
    <t>Estado</t>
  </si>
  <si>
    <t>Ramírez García, Carlos</t>
  </si>
  <si>
    <t>45123689</t>
  </si>
  <si>
    <t>Gerente General</t>
  </si>
  <si>
    <t>AFP Integra</t>
  </si>
  <si>
    <t>Pagado</t>
  </si>
  <si>
    <t>Torres Huamán, María</t>
  </si>
  <si>
    <t>40258741</t>
  </si>
  <si>
    <t>Contadora</t>
  </si>
  <si>
    <t>AFP Prima</t>
  </si>
  <si>
    <t>Quispe Mamani, José</t>
  </si>
  <si>
    <t>46789123</t>
  </si>
  <si>
    <t>Vendedor</t>
  </si>
  <si>
    <t>ONP</t>
  </si>
  <si>
    <t>Huanca Flores, Rosa</t>
  </si>
  <si>
    <t>42345678</t>
  </si>
  <si>
    <t>Cajera</t>
  </si>
  <si>
    <t>AFP Profuturo</t>
  </si>
  <si>
    <t>Mendoza Loyola, Luis</t>
  </si>
  <si>
    <t>43567890</t>
  </si>
  <si>
    <t>Almacenero</t>
  </si>
  <si>
    <t>Sánchez Poma, Ana</t>
  </si>
  <si>
    <t>41234567</t>
  </si>
  <si>
    <t>Recepcionista</t>
  </si>
  <si>
    <t>Flores Cárdenas, Pedro</t>
  </si>
  <si>
    <t>44876543</t>
  </si>
  <si>
    <t>Auxiliar</t>
  </si>
  <si>
    <t>Rojas Alarcón, Carmen</t>
  </si>
  <si>
    <t>47654321</t>
  </si>
  <si>
    <t>Operaria</t>
  </si>
  <si>
    <t/>
  </si>
  <si>
    <t>TOTAL</t>
  </si>
  <si>
    <t>RESUMEN DE PLANILLA</t>
  </si>
  <si>
    <t>COSTO TOTAL EMPLEADOR</t>
  </si>
  <si>
    <t>TOTAL DESCUENTOS</t>
  </si>
  <si>
    <t>TOTAL NETO PAGADO</t>
  </si>
  <si>
    <t>TOTAL ESSALUD</t>
  </si>
  <si>
    <t>💡 RMV vigente S/ 1,130. Asignación familiar es S/ 113 (10% RMV). AFP varía según sistema elegido.</t>
  </si>
  <si>
    <t>Discoteca · Plantilla profesional Pack Perú · Cumple normas laborales peruanas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</si>
</sst>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0.0%"/>
  </numFmts>
  <fonts count="14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i/>
      <color rgb="FF5B7268"/>
      <sz val="10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b/>
      <color rgb="FF1A2E24"/>
      <sz val="13"/>
      <name val="Calibri"/>
    </font>
    <font>
      <b/>
      <color rgb="FFFFFFFF"/>
      <sz val="9"/>
      <name val="Calibri"/>
    </font>
    <font>
      <b/>
      <color rgb="FFDC2626"/>
      <sz val="16"/>
      <name val="Calibri"/>
    </font>
    <font>
      <b/>
      <color rgb="FFF59E0B"/>
      <sz val="16"/>
      <name val="Calibri"/>
    </font>
    <font>
      <b/>
      <color rgb="FF16A34A"/>
      <sz val="16"/>
      <name val="Calibri"/>
    </font>
    <font>
      <b/>
      <color rgb="FF2563EB"/>
      <sz val="16"/>
      <name val="Calibri"/>
    </font>
    <font>
      <i/>
      <color rgb="FF5B7268"/>
      <sz val="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DC2626"/>
      </patternFill>
    </fill>
    <fill>
      <patternFill patternType="solid">
        <fgColor rgb="FFF59E0B"/>
      </patternFill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/>
    </xf>
    <xf numFmtId="164" fontId="5" fillId="0" borderId="1" xfId="0" applyNumberFormat="1" applyFont="1" applyBorder="1" applyAlignment="1">
      <alignment horizontal="right" vertical="center"/>
    </xf>
    <xf numFmtId="3" fontId="5" fillId="0" borderId="1" xfId="0" applyNumberFormat="1" applyFont="1" applyBorder="1" applyAlignment="1">
      <alignment horizontal="right" vertical="center"/>
    </xf>
    <xf numFmtId="165" fontId="5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3" fontId="5" fillId="4" borderId="1" xfId="0" applyNumberFormat="1" applyFont="1" applyFill="1" applyBorder="1" applyAlignment="1">
      <alignment horizontal="right" vertical="center"/>
    </xf>
    <xf numFmtId="165" fontId="5" fillId="4" borderId="1" xfId="0" applyNumberFormat="1" applyFont="1" applyFill="1" applyBorder="1" applyAlignment="1">
      <alignment horizontal="right" vertical="center"/>
    </xf>
    <xf numFmtId="0" fontId="6" fillId="0" borderId="1" xfId="0" applyFont="1" applyBorder="1" applyAlignment="1">
      <alignment horizontal="left" vertical="center"/>
    </xf>
    <xf numFmtId="164" fontId="6" fillId="0" borderId="1" xfId="0" applyNumberFormat="1" applyFont="1" applyBorder="1" applyAlignment="1">
      <alignment horizontal="right" vertical="center"/>
    </xf>
    <xf numFmtId="0" fontId="7" fillId="0" borderId="0" xfId="0" applyFont="1" applyAlignment="1">
      <alignment horizontal="left" vertical="center"/>
    </xf>
    <xf numFmtId="0" fontId="8" fillId="5" borderId="0" xfId="0" applyFont="1" applyFill="1" applyAlignment="1">
      <alignment horizontal="center" vertical="center"/>
    </xf>
    <xf numFmtId="0" fontId="8" fillId="6" borderId="0" xfId="0" applyFont="1" applyFill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0" fontId="8" fillId="7" borderId="0" xfId="0" applyFont="1" applyFill="1" applyAlignment="1">
      <alignment horizontal="center" vertical="center"/>
    </xf>
    <xf numFmtId="164" fontId="9" fillId="4" borderId="0" xfId="0" applyNumberFormat="1" applyFont="1" applyFill="1" applyAlignment="1">
      <alignment horizontal="center" vertical="center"/>
    </xf>
    <xf numFmtId="164" fontId="10" fillId="4" borderId="0" xfId="0" applyNumberFormat="1" applyFont="1" applyFill="1" applyAlignment="1">
      <alignment horizontal="center" vertical="center"/>
    </xf>
    <xf numFmtId="164" fontId="11" fillId="4" borderId="0" xfId="0" applyNumberFormat="1" applyFont="1" applyFill="1" applyAlignment="1">
      <alignment horizontal="center" vertical="center"/>
    </xf>
    <xf numFmtId="164" fontId="12" fillId="4" borderId="0" xfId="0" applyNumberFormat="1" applyFont="1" applyFill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0" fontId="13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</cellXfs>
  <cellStyles count="1">
    <cellStyle name="Normal" xfId="0" builtinId="0"/>
  </cellStyles>
  <dxfs count="2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2"/>
  <sheetViews>
    <sheetView workbookViewId="0" showGridLines="0"/>
  </sheetViews>
  <sheetFormatPr defaultRowHeight="15" outlineLevelRow="0" outlineLevelCol="0" x14ac:dyDescent="55"/>
  <cols>
    <col min="1" max="1" width="5" customWidth="1"/>
    <col min="2" max="2" width="24" customWidth="1"/>
    <col min="3" max="3" width="10" customWidth="1"/>
    <col min="4" max="4" width="18" customWidth="1"/>
    <col min="5" max="5" width="12" customWidth="1"/>
    <col min="6" max="6" width="8" customWidth="1"/>
    <col min="7" max="7" width="12" customWidth="1"/>
    <col min="8" max="9" width="14" customWidth="1"/>
    <col min="10" max="10" width="12" customWidth="1"/>
    <col min="11" max="12" width="13" customWidth="1"/>
    <col min="13" max="13" width="14" customWidth="1"/>
    <col min="14" max="14" width="12" customWidth="1"/>
    <col min="15" max="15" width="14" customWidth="1"/>
  </cols>
  <sheetData>
    <row r="1" ht="32" customHeight="1" spans="1:1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ht="18" customHeight="1" spans="1:15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spans="1:15" x14ac:dyDescent="0.25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ht="22" customHeight="1" spans="1:14" x14ac:dyDescent="0.25">
      <c r="A4" s="4" t="s">
        <v>3</v>
      </c>
      <c r="B4" s="4" t="s">
        <v>4</v>
      </c>
      <c r="C4" s="4" t="s">
        <v>5</v>
      </c>
      <c r="D4" s="4" t="s">
        <v>6</v>
      </c>
      <c r="E4" s="4" t="s">
        <v>7</v>
      </c>
      <c r="F4" s="4" t="s">
        <v>8</v>
      </c>
      <c r="G4" s="4" t="s">
        <v>9</v>
      </c>
      <c r="H4" s="4" t="s">
        <v>10</v>
      </c>
      <c r="I4" s="4" t="s">
        <v>11</v>
      </c>
      <c r="J4" s="4" t="s">
        <v>12</v>
      </c>
      <c r="K4" s="4" t="s">
        <v>13</v>
      </c>
      <c r="L4" s="4" t="s">
        <v>14</v>
      </c>
      <c r="M4" s="4" t="s">
        <v>15</v>
      </c>
      <c r="N4" s="4" t="s">
        <v>16</v>
      </c>
    </row>
    <row r="5" spans="1:14" x14ac:dyDescent="0.25">
      <c r="A5" s="5">
        <v>1</v>
      </c>
      <c r="B5" s="5" t="s">
        <v>17</v>
      </c>
      <c r="C5" s="5" t="s">
        <v>18</v>
      </c>
      <c r="D5" s="5" t="s">
        <v>19</v>
      </c>
      <c r="E5" s="6">
        <v>3500</v>
      </c>
      <c r="F5" s="7">
        <v>30</v>
      </c>
      <c r="G5" s="6">
        <v>113</v>
      </c>
      <c r="H5" s="6">
        <f>E5*F5/30+G5</f>
      </c>
      <c r="I5" s="5" t="s">
        <v>20</v>
      </c>
      <c r="J5" s="8">
        <v>0.1195</v>
      </c>
      <c r="K5" s="6">
        <f>H5*J5</f>
      </c>
      <c r="L5" s="6">
        <f>E5*0.09</f>
      </c>
      <c r="M5" s="6">
        <f>H5-K5</f>
      </c>
      <c r="N5" s="5" t="s">
        <v>21</v>
      </c>
    </row>
    <row r="6" spans="1:14" x14ac:dyDescent="0.25">
      <c r="A6" s="9">
        <v>2</v>
      </c>
      <c r="B6" s="9" t="s">
        <v>22</v>
      </c>
      <c r="C6" s="9" t="s">
        <v>23</v>
      </c>
      <c r="D6" s="9" t="s">
        <v>24</v>
      </c>
      <c r="E6" s="10">
        <v>2800</v>
      </c>
      <c r="F6" s="11">
        <v>30</v>
      </c>
      <c r="G6" s="10">
        <v>0</v>
      </c>
      <c r="H6" s="10">
        <f>E6*F6/30+G6</f>
      </c>
      <c r="I6" s="9" t="s">
        <v>25</v>
      </c>
      <c r="J6" s="12">
        <v>0.1245</v>
      </c>
      <c r="K6" s="10">
        <f>H6*J6</f>
      </c>
      <c r="L6" s="10">
        <f>E6*0.09</f>
      </c>
      <c r="M6" s="10">
        <f>H6-K6</f>
      </c>
      <c r="N6" s="9" t="s">
        <v>21</v>
      </c>
    </row>
    <row r="7" spans="1:14" x14ac:dyDescent="0.25">
      <c r="A7" s="5">
        <v>3</v>
      </c>
      <c r="B7" s="5" t="s">
        <v>26</v>
      </c>
      <c r="C7" s="5" t="s">
        <v>27</v>
      </c>
      <c r="D7" s="5" t="s">
        <v>28</v>
      </c>
      <c r="E7" s="6">
        <v>1500</v>
      </c>
      <c r="F7" s="7">
        <v>28</v>
      </c>
      <c r="G7" s="6">
        <v>0</v>
      </c>
      <c r="H7" s="6">
        <f>E7*F7/30+G7</f>
      </c>
      <c r="I7" s="5" t="s">
        <v>29</v>
      </c>
      <c r="J7" s="8">
        <v>0.13</v>
      </c>
      <c r="K7" s="6">
        <f>H7*J7</f>
      </c>
      <c r="L7" s="6">
        <f>E7*0.09</f>
      </c>
      <c r="M7" s="6">
        <f>H7-K7</f>
      </c>
      <c r="N7" s="5" t="s">
        <v>21</v>
      </c>
    </row>
    <row r="8" spans="1:14" x14ac:dyDescent="0.25">
      <c r="A8" s="9">
        <v>4</v>
      </c>
      <c r="B8" s="9" t="s">
        <v>30</v>
      </c>
      <c r="C8" s="9" t="s">
        <v>31</v>
      </c>
      <c r="D8" s="9" t="s">
        <v>32</v>
      </c>
      <c r="E8" s="10">
        <v>1300</v>
      </c>
      <c r="F8" s="11">
        <v>30</v>
      </c>
      <c r="G8" s="10">
        <v>113</v>
      </c>
      <c r="H8" s="10">
        <f>E8*F8/30+G8</f>
      </c>
      <c r="I8" s="9" t="s">
        <v>33</v>
      </c>
      <c r="J8" s="12">
        <v>0.126</v>
      </c>
      <c r="K8" s="10">
        <f>H8*J8</f>
      </c>
      <c r="L8" s="10">
        <f>E8*0.09</f>
      </c>
      <c r="M8" s="10">
        <f>H8-K8</f>
      </c>
      <c r="N8" s="9" t="s">
        <v>21</v>
      </c>
    </row>
    <row r="9" spans="1:14" x14ac:dyDescent="0.25">
      <c r="A9" s="5">
        <v>5</v>
      </c>
      <c r="B9" s="5" t="s">
        <v>34</v>
      </c>
      <c r="C9" s="5" t="s">
        <v>35</v>
      </c>
      <c r="D9" s="5" t="s">
        <v>36</v>
      </c>
      <c r="E9" s="6">
        <v>1300</v>
      </c>
      <c r="F9" s="7">
        <v>30</v>
      </c>
      <c r="G9" s="6">
        <v>0</v>
      </c>
      <c r="H9" s="6">
        <f>E9*F9/30+G9</f>
      </c>
      <c r="I9" s="5" t="s">
        <v>20</v>
      </c>
      <c r="J9" s="8">
        <v>0.1195</v>
      </c>
      <c r="K9" s="6">
        <f>H9*J9</f>
      </c>
      <c r="L9" s="6">
        <f>E9*0.09</f>
      </c>
      <c r="M9" s="6">
        <f>H9-K9</f>
      </c>
      <c r="N9" s="5" t="s">
        <v>21</v>
      </c>
    </row>
    <row r="10" spans="1:14" x14ac:dyDescent="0.25">
      <c r="A10" s="9">
        <v>6</v>
      </c>
      <c r="B10" s="9" t="s">
        <v>37</v>
      </c>
      <c r="C10" s="9" t="s">
        <v>38</v>
      </c>
      <c r="D10" s="9" t="s">
        <v>39</v>
      </c>
      <c r="E10" s="10">
        <v>1200</v>
      </c>
      <c r="F10" s="11">
        <v>30</v>
      </c>
      <c r="G10" s="10">
        <v>0</v>
      </c>
      <c r="H10" s="10">
        <f>E10*F10/30+G10</f>
      </c>
      <c r="I10" s="9" t="s">
        <v>25</v>
      </c>
      <c r="J10" s="12">
        <v>0.1245</v>
      </c>
      <c r="K10" s="10">
        <f>H10*J10</f>
      </c>
      <c r="L10" s="10">
        <f>E10*0.09</f>
      </c>
      <c r="M10" s="10">
        <f>H10-K10</f>
      </c>
      <c r="N10" s="9" t="s">
        <v>21</v>
      </c>
    </row>
    <row r="11" spans="1:14" x14ac:dyDescent="0.25">
      <c r="A11" s="5">
        <v>7</v>
      </c>
      <c r="B11" s="5" t="s">
        <v>40</v>
      </c>
      <c r="C11" s="5" t="s">
        <v>41</v>
      </c>
      <c r="D11" s="5" t="s">
        <v>42</v>
      </c>
      <c r="E11" s="6">
        <v>1130</v>
      </c>
      <c r="F11" s="7">
        <v>26</v>
      </c>
      <c r="G11" s="6">
        <v>113</v>
      </c>
      <c r="H11" s="6">
        <f>E11*F11/30+G11</f>
      </c>
      <c r="I11" s="5" t="s">
        <v>29</v>
      </c>
      <c r="J11" s="8">
        <v>0.13</v>
      </c>
      <c r="K11" s="6">
        <f>H11*J11</f>
      </c>
      <c r="L11" s="6">
        <f>E11*0.09</f>
      </c>
      <c r="M11" s="6">
        <f>H11-K11</f>
      </c>
      <c r="N11" s="5" t="s">
        <v>21</v>
      </c>
    </row>
    <row r="12" spans="1:14" x14ac:dyDescent="0.25">
      <c r="A12" s="9">
        <v>8</v>
      </c>
      <c r="B12" s="9" t="s">
        <v>43</v>
      </c>
      <c r="C12" s="9" t="s">
        <v>44</v>
      </c>
      <c r="D12" s="9" t="s">
        <v>45</v>
      </c>
      <c r="E12" s="10">
        <v>1130</v>
      </c>
      <c r="F12" s="11">
        <v>30</v>
      </c>
      <c r="G12" s="10">
        <v>0</v>
      </c>
      <c r="H12" s="10">
        <f>E12*F12/30+G12</f>
      </c>
      <c r="I12" s="9" t="s">
        <v>33</v>
      </c>
      <c r="J12" s="12">
        <v>0.126</v>
      </c>
      <c r="K12" s="10">
        <f>H12*J12</f>
      </c>
      <c r="L12" s="10">
        <f>E12*0.09</f>
      </c>
      <c r="M12" s="10">
        <f>H12-K12</f>
      </c>
      <c r="N12" s="9" t="s">
        <v>21</v>
      </c>
    </row>
    <row r="13" spans="1:13" x14ac:dyDescent="0.25">
      <c r="A13" s="13" t="s">
        <v>46</v>
      </c>
      <c r="B13" s="13" t="s">
        <v>47</v>
      </c>
      <c r="C13" s="13" t="s">
        <v>46</v>
      </c>
      <c r="D13" s="13" t="s">
        <v>46</v>
      </c>
      <c r="E13" s="14">
        <f>SUM(E5:E12)</f>
      </c>
      <c r="F13" s="13" t="s">
        <v>46</v>
      </c>
      <c r="G13" s="14">
        <f>SUM(G5:G12)</f>
      </c>
      <c r="H13" s="14">
        <f>SUM(H5:H12)</f>
      </c>
      <c r="I13" s="13" t="s">
        <v>46</v>
      </c>
      <c r="J13" s="13" t="s">
        <v>46</v>
      </c>
      <c r="K13" s="14">
        <f>SUM(K5:K12)</f>
      </c>
      <c r="L13" s="14">
        <f>SUM(L5:L12)</f>
      </c>
      <c r="M13" s="14">
        <f>SUM(M5:M12)</f>
      </c>
    </row>
    <row r="15" spans="1:1" x14ac:dyDescent="0.25">
      <c r="A15" s="15" t="s">
        <v>48</v>
      </c>
    </row>
    <row r="16" spans="1:12" x14ac:dyDescent="0.25">
      <c r="A16" s="16" t="s">
        <v>49</v>
      </c>
      <c r="B16" s="16"/>
      <c r="C16" s="16"/>
      <c r="D16" s="17" t="s">
        <v>50</v>
      </c>
      <c r="E16" s="17"/>
      <c r="F16" s="17"/>
      <c r="G16" s="18" t="s">
        <v>51</v>
      </c>
      <c r="H16" s="18"/>
      <c r="I16" s="18"/>
      <c r="J16" s="19" t="s">
        <v>52</v>
      </c>
      <c r="K16" s="19"/>
      <c r="L16" s="19"/>
    </row>
    <row r="17" ht="24" customHeight="1" spans="1:12" x14ac:dyDescent="0.25">
      <c r="A17" s="20">
        <f>SUM(M5:M12)+SUM(L5:L12)</f>
      </c>
      <c r="B17" s="20"/>
      <c r="C17" s="20"/>
      <c r="D17" s="21">
        <f>SUM(K5:K12)</f>
      </c>
      <c r="E17" s="21"/>
      <c r="F17" s="21"/>
      <c r="G17" s="22">
        <f>SUM(M5:M12)</f>
      </c>
      <c r="H17" s="22"/>
      <c r="I17" s="22"/>
      <c r="J17" s="23">
        <f>SUM(L5:L12)</f>
      </c>
      <c r="K17" s="23"/>
      <c r="L17" s="23"/>
    </row>
    <row r="18" spans="1:12" x14ac:dyDescent="0.25">
      <c r="A18" s="24" t="s">
        <v>46</v>
      </c>
      <c r="B18" s="24"/>
      <c r="C18" s="24"/>
      <c r="D18" s="24" t="s">
        <v>46</v>
      </c>
      <c r="E18" s="24"/>
      <c r="F18" s="24"/>
      <c r="G18" s="24" t="s">
        <v>46</v>
      </c>
      <c r="H18" s="24"/>
      <c r="I18" s="24"/>
      <c r="J18" s="24" t="s">
        <v>46</v>
      </c>
      <c r="K18" s="24"/>
      <c r="L18" s="24"/>
    </row>
    <row r="20" spans="1:1" x14ac:dyDescent="0.25">
      <c r="A20" s="25" t="s">
        <v>53</v>
      </c>
    </row>
    <row r="22" spans="1:15" x14ac:dyDescent="0.25">
      <c r="A22" s="26" t="s">
        <v>54</v>
      </c>
      <c r="B22" s="26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6"/>
    </row>
  </sheetData>
  <mergeCells count="16">
    <mergeCell ref="A1:O1"/>
    <mergeCell ref="A2:O2"/>
    <mergeCell ref="A3:O3"/>
    <mergeCell ref="A16:C16"/>
    <mergeCell ref="D16:F16"/>
    <mergeCell ref="G16:I16"/>
    <mergeCell ref="J16:L16"/>
    <mergeCell ref="A17:C17"/>
    <mergeCell ref="D17:F17"/>
    <mergeCell ref="G17:I17"/>
    <mergeCell ref="J17:L17"/>
    <mergeCell ref="A18:C18"/>
    <mergeCell ref="D18:F18"/>
    <mergeCell ref="G18:I18"/>
    <mergeCell ref="J18:L18"/>
    <mergeCell ref="A22:O22"/>
  </mergeCells>
  <conditionalFormatting sqref="N5:N12">
    <cfRule type="cellIs" dxfId="0" priority="1" operator="equal">
      <formula>"Pendiente"</formula>
    </cfRule>
    <cfRule type="cellIs" dxfId="1" priority="2" operator="equal">
      <formula>"Pagado"</formula>
    </cfRule>
  </conditionalFormatting>
  <dataValidations count="2">
    <dataValidation type="list" allowBlank="1" sqref="I5">
      <formula1>"AFP Integra,AFP Prima,AFP Profuturo,ONP"</formula1>
    </dataValidation>
    <dataValidation type="list" allowBlank="1" sqref="N5">
      <formula1>"Pagado,Pendiente"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Planilla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2026-08-23T16:46:35Z</dcterms:created>
  <dcterms:modified xsi:type="dcterms:W3CDTF">2026-08-23T16:46:35Z</dcterms:modified>
</cp:coreProperties>
</file>