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<sst xmlns="http://schemas.openxmlformats.org/spreadsheetml/2006/main" count="129" uniqueCount="91">
  <si>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CLÍNICA DENTAL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</si>
  <si>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</si>
  <si>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</si>
  <si>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</si>
  <si>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</si>
  <si>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</si>
  <si>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</si>
  <si>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</si>
  <si>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</si>
  <si>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</si>
  <si>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</si>
  <si>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</si>
  <si>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Resina</t>
  </si>
  <si>
    <t>08:30</t>
  </si>
  <si>
    <t>B001-10001</t>
  </si>
  <si>
    <t>Yape</t>
  </si>
  <si>
    <t>09:15</t>
  </si>
  <si>
    <t>B001-10002</t>
  </si>
  <si>
    <t>Plin</t>
  </si>
  <si>
    <t>Extracción cordal</t>
  </si>
  <si>
    <t>09:45</t>
  </si>
  <si>
    <t>B001-10003</t>
  </si>
  <si>
    <t>Limpieza dental</t>
  </si>
  <si>
    <t>10:20</t>
  </si>
  <si>
    <t>B001-10004</t>
  </si>
  <si>
    <t>Tarjeta</t>
  </si>
  <si>
    <t>11:00</t>
  </si>
  <si>
    <t>B001-10005</t>
  </si>
  <si>
    <t>11:40</t>
  </si>
  <si>
    <t>B001-10006</t>
  </si>
  <si>
    <t>12:15</t>
  </si>
  <si>
    <t>B001-10007</t>
  </si>
  <si>
    <t>Ortodoncia mensual</t>
  </si>
  <si>
    <t>12:50</t>
  </si>
  <si>
    <t>B001-10008</t>
  </si>
  <si>
    <t>Transferencia</t>
  </si>
  <si>
    <t>13:30</t>
  </si>
  <si>
    <t>B001-10009</t>
  </si>
  <si>
    <t>Endodoncia</t>
  </si>
  <si>
    <t>14:10</t>
  </si>
  <si>
    <t>B001-10010</t>
  </si>
  <si>
    <t>Extracción simple</t>
  </si>
  <si>
    <t>15:00</t>
  </si>
  <si>
    <t>B001-10011</t>
  </si>
  <si>
    <t>Blanqueamiento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</si>
  <si>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</si>
  <si>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</si>
  <si>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</si>
  <si>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</si>
  <si>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</si>
  <si>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</si>
  <si>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</si>
  <si>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</si>
  <si>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Radiografía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</si>
  <si>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</si>
  <si>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</si>
  <si>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</si>
  <si>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</si>
  <si>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</si>
  <si>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</si>
  <si>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</si>
  <si>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</si>
  <si>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</si>
  <si>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</si>
  <si>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</si>
  <si>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</si>
  <si>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</si>
  <si>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</si>
  <si>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</si>
  <si>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</si>
  <si>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</si>
  <si>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</si>
  <si>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</si>
  <si>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</si>
  <si>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</si>
  <si>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</si>
  <si>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</si>
  <si>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</si>
  <si>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</si>
  <si>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CLÍNICA DENTAL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</si>
  <si>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</si>
  <si>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</si>
  <si>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</si>
  <si>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</si>
  <si>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</si>
  <si>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</si>
  <si>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</si>
  <si>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</si>
  <si>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</si>
  <si>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</si>
  <si>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Clínica Dental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</si>
</sst>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46.96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12</v>
      </c>
      <c r="E6" s="7">
        <v>28.87</v>
      </c>
      <c r="F6" s="7">
        <f>ROUND(E6/1.18*0.18,2)</f>
      </c>
      <c r="G6" s="7">
        <f>E6</f>
      </c>
    </row>
    <row r="7" spans="1:7" x14ac:dyDescent="0.25">
      <c r="A7" s="4" t="s">
        <v>16</v>
      </c>
      <c r="B7" s="4" t="s">
        <v>17</v>
      </c>
      <c r="C7" s="4" t="s">
        <v>18</v>
      </c>
      <c r="D7" s="4" t="s">
        <v>19</v>
      </c>
      <c r="E7" s="5">
        <v>18.29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50.11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12</v>
      </c>
      <c r="E9" s="5">
        <v>40.76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22</v>
      </c>
      <c r="E10" s="7">
        <v>5.23</v>
      </c>
      <c r="F10" s="7">
        <f>ROUND(E10/1.18*0.18,2)</f>
      </c>
      <c r="G10" s="7">
        <f>E10</f>
      </c>
    </row>
    <row r="11" spans="1:7" x14ac:dyDescent="0.25">
      <c r="A11" s="4" t="s">
        <v>28</v>
      </c>
      <c r="B11" s="4" t="s">
        <v>29</v>
      </c>
      <c r="C11" s="4" t="s">
        <v>11</v>
      </c>
      <c r="D11" s="4" t="s">
        <v>22</v>
      </c>
      <c r="E11" s="5">
        <v>43.76</v>
      </c>
      <c r="F11" s="5">
        <f>ROUND(E11/1.18*0.18,2)</f>
      </c>
      <c r="G11" s="5">
        <f>E11</f>
      </c>
    </row>
    <row r="12" spans="1:7" x14ac:dyDescent="0.25">
      <c r="A12" s="6" t="s">
        <v>30</v>
      </c>
      <c r="B12" s="6" t="s">
        <v>31</v>
      </c>
      <c r="C12" s="6" t="s">
        <v>11</v>
      </c>
      <c r="D12" s="6" t="s">
        <v>32</v>
      </c>
      <c r="E12" s="7">
        <v>46.8</v>
      </c>
      <c r="F12" s="7">
        <f>ROUND(E12/1.18*0.18,2)</f>
      </c>
      <c r="G12" s="7">
        <f>E12</f>
      </c>
    </row>
    <row r="13" spans="1:7" x14ac:dyDescent="0.25">
      <c r="A13" s="4" t="s">
        <v>33</v>
      </c>
      <c r="B13" s="4" t="s">
        <v>34</v>
      </c>
      <c r="C13" s="4" t="s">
        <v>35</v>
      </c>
      <c r="D13" s="4" t="s">
        <v>32</v>
      </c>
      <c r="E13" s="5">
        <v>24.66</v>
      </c>
      <c r="F13" s="5">
        <f>ROUND(E13/1.18*0.18,2)</f>
      </c>
      <c r="G13" s="5">
        <f>E13</f>
      </c>
    </row>
    <row r="14" spans="1:7" x14ac:dyDescent="0.25">
      <c r="A14" s="6" t="s">
        <v>36</v>
      </c>
      <c r="B14" s="6" t="s">
        <v>37</v>
      </c>
      <c r="C14" s="6" t="s">
        <v>15</v>
      </c>
      <c r="D14" s="6" t="s">
        <v>38</v>
      </c>
      <c r="E14" s="7">
        <v>43.43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41</v>
      </c>
      <c r="E15" s="5">
        <v>8.69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44</v>
      </c>
      <c r="E16" s="7">
        <v>41.53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18</v>
      </c>
      <c r="D17" s="4" t="s">
        <v>12</v>
      </c>
      <c r="E17" s="5">
        <v>41.7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32</v>
      </c>
      <c r="E18" s="7">
        <v>6.69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44</v>
      </c>
      <c r="E19" s="5">
        <v>10.39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53</v>
      </c>
      <c r="E20" s="7">
        <v>30.1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44</v>
      </c>
      <c r="E21" s="5">
        <v>9.74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41</v>
      </c>
      <c r="E22" s="7">
        <v>5.74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35</v>
      </c>
      <c r="D23" s="4" t="s">
        <v>41</v>
      </c>
      <c r="E23" s="5">
        <v>19.73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12</v>
      </c>
      <c r="E24" s="7">
        <v>56.33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4</v>
      </c>
      <c r="C5" s="5">
        <f>200*B5</f>
      </c>
    </row>
    <row r="6" spans="1:3" x14ac:dyDescent="0.25">
      <c r="A6" s="6" t="s">
        <v>68</v>
      </c>
      <c r="B6" s="9">
        <v>4</v>
      </c>
      <c r="C6" s="7">
        <f>100*B6</f>
      </c>
    </row>
    <row r="7" spans="1:3" x14ac:dyDescent="0.25">
      <c r="A7" s="4" t="s">
        <v>69</v>
      </c>
      <c r="B7" s="8">
        <v>4</v>
      </c>
      <c r="C7" s="5">
        <f>50*B7</f>
      </c>
    </row>
    <row r="8" spans="1:3" x14ac:dyDescent="0.25">
      <c r="A8" s="6" t="s">
        <v>70</v>
      </c>
      <c r="B8" s="9">
        <v>10</v>
      </c>
      <c r="C8" s="7">
        <f>20*B8</f>
      </c>
    </row>
    <row r="9" spans="1:3" x14ac:dyDescent="0.25">
      <c r="A9" s="4" t="s">
        <v>71</v>
      </c>
      <c r="B9" s="8">
        <v>6</v>
      </c>
      <c r="C9" s="5">
        <f>10*B9</f>
      </c>
    </row>
    <row r="10" spans="1:3" x14ac:dyDescent="0.25">
      <c r="A10" s="6" t="s">
        <v>72</v>
      </c>
      <c r="B10" s="9">
        <v>12</v>
      </c>
      <c r="C10" s="7">
        <f>5*B10</f>
      </c>
    </row>
    <row r="11" spans="1:3" x14ac:dyDescent="0.25">
      <c r="A11" s="4" t="s">
        <v>73</v>
      </c>
      <c r="B11" s="8">
        <v>15</v>
      </c>
      <c r="C11" s="5">
        <f>2*B11</f>
      </c>
    </row>
    <row r="12" spans="1:3" x14ac:dyDescent="0.25">
      <c r="A12" s="6" t="s">
        <v>74</v>
      </c>
      <c r="B12" s="9">
        <v>5</v>
      </c>
      <c r="C12" s="7">
        <f>1*B12</f>
      </c>
    </row>
    <row r="13" spans="1:3" x14ac:dyDescent="0.25">
      <c r="A13" s="4" t="s">
        <v>75</v>
      </c>
      <c r="B13" s="8">
        <v>15</v>
      </c>
      <c r="C13" s="5">
        <f>0.5*B13</f>
      </c>
    </row>
    <row r="14" spans="1:3" x14ac:dyDescent="0.25">
      <c r="A14" s="6" t="s">
        <v>76</v>
      </c>
      <c r="B14" s="9">
        <v>8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18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35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{DDDB71E5-9086-4D27-9BA3-4B9072F560DB}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DB71E5-9086-4D27-9BA3-4B9072F560DB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