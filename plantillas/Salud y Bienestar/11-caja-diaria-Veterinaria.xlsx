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<sst xmlns="http://schemas.openxmlformats.org/spreadsheetml/2006/main" count="129" uniqueCount="91">
  <si>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VETERINARIA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</si>
  <si>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</si>
  <si>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</si>
  <si>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</si>
  <si>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</si>
  <si>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</si>
  <si>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</si>
  <si>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</si>
  <si>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</si>
  <si>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</si>
  <si>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</si>
  <si>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</si>
  <si>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Análisis clínicos</t>
  </si>
  <si>
    <t>08:30</t>
  </si>
  <si>
    <t>B001-10001</t>
  </si>
  <si>
    <t>Yape</t>
  </si>
  <si>
    <t>Desparasitación</t>
  </si>
  <si>
    <t>09:15</t>
  </si>
  <si>
    <t>B001-10002</t>
  </si>
  <si>
    <t>Plin</t>
  </si>
  <si>
    <t>Cirugía menor</t>
  </si>
  <si>
    <t>09:45</t>
  </si>
  <si>
    <t>B001-10003</t>
  </si>
  <si>
    <t>10:20</t>
  </si>
  <si>
    <t>B001-10004</t>
  </si>
  <si>
    <t>Tarjeta</t>
  </si>
  <si>
    <t>Vacunación</t>
  </si>
  <si>
    <t>11:00</t>
  </si>
  <si>
    <t>B001-10005</t>
  </si>
  <si>
    <t>Baño y corte</t>
  </si>
  <si>
    <t>11:40</t>
  </si>
  <si>
    <t>B001-10006</t>
  </si>
  <si>
    <t>Ultrasonido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</si>
  <si>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</si>
  <si>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</si>
  <si>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</si>
  <si>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</si>
  <si>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</si>
  <si>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</si>
  <si>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</si>
  <si>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</si>
  <si>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</si>
  <si>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Consulta general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</si>
  <si>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</si>
  <si>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</si>
  <si>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</si>
  <si>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</si>
  <si>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</si>
  <si>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</si>
  <si>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</si>
  <si>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</si>
  <si>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Rayos X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</si>
  <si>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</si>
  <si>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</si>
  <si>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</si>
  <si>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</si>
  <si>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</si>
  <si>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</si>
  <si>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</si>
  <si>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</si>
  <si>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</si>
  <si>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</si>
  <si>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</si>
  <si>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</si>
  <si>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</si>
  <si>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</si>
  <si>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</si>
  <si>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</si>
  <si>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</si>
  <si>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</si>
  <si>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</si>
  <si>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</si>
  <si>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</si>
  <si>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</si>
  <si>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</si>
  <si>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</si>
  <si>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</si>
  <si>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</si>
  <si>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</si>
  <si>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VETERINARIA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</si>
  <si>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</si>
  <si>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</si>
  <si>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</si>
  <si>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</si>
  <si>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</si>
  <si>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</si>
  <si>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</si>
  <si>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</si>
  <si>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</si>
  <si>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</si>
  <si>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Veterinaria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</si>
</sst>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23.6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11.09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8.04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23.52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12.2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14.18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7.65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12</v>
      </c>
      <c r="E12" s="7">
        <v>47.6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16</v>
      </c>
      <c r="E13" s="5">
        <v>17.4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32</v>
      </c>
      <c r="E14" s="7">
        <v>43.07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44.6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42</v>
      </c>
      <c r="E16" s="7">
        <v>24.38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20</v>
      </c>
      <c r="E17" s="5">
        <v>13.47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20</v>
      </c>
      <c r="E18" s="7">
        <v>36.97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51</v>
      </c>
      <c r="E19" s="5">
        <v>45.04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32</v>
      </c>
      <c r="E20" s="7">
        <v>49.82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32</v>
      </c>
      <c r="E21" s="5">
        <v>48.86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12</v>
      </c>
      <c r="E22" s="7">
        <v>56.94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29</v>
      </c>
      <c r="E23" s="5">
        <v>52.44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26</v>
      </c>
      <c r="E24" s="7">
        <v>41.27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2</v>
      </c>
      <c r="C8" s="7">
        <f>20*B8</f>
      </c>
    </row>
    <row r="9" spans="1:3" x14ac:dyDescent="0.25">
      <c r="A9" s="4" t="s">
        <v>71</v>
      </c>
      <c r="B9" s="8">
        <v>0</v>
      </c>
      <c r="C9" s="5">
        <f>10*B9</f>
      </c>
    </row>
    <row r="10" spans="1:3" x14ac:dyDescent="0.25">
      <c r="A10" s="6" t="s">
        <v>72</v>
      </c>
      <c r="B10" s="9">
        <v>9</v>
      </c>
      <c r="C10" s="7">
        <f>5*B10</f>
      </c>
    </row>
    <row r="11" spans="1:3" x14ac:dyDescent="0.25">
      <c r="A11" s="4" t="s">
        <v>73</v>
      </c>
      <c r="B11" s="8">
        <v>5</v>
      </c>
      <c r="C11" s="5">
        <f>2*B11</f>
      </c>
    </row>
    <row r="12" spans="1:3" x14ac:dyDescent="0.25">
      <c r="A12" s="6" t="s">
        <v>74</v>
      </c>
      <c r="B12" s="9">
        <v>11</v>
      </c>
      <c r="C12" s="7">
        <f>1*B12</f>
      </c>
    </row>
    <row r="13" spans="1:3" x14ac:dyDescent="0.25">
      <c r="A13" s="4" t="s">
        <v>75</v>
      </c>
      <c r="B13" s="8">
        <v>4</v>
      </c>
      <c r="C13" s="5">
        <f>0.5*B13</f>
      </c>
    </row>
    <row r="14" spans="1:3" x14ac:dyDescent="0.25">
      <c r="A14" s="6" t="s">
        <v>76</v>
      </c>
      <c r="B14" s="9">
        <v>8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{B5BA9FB3-880C-4BAA-B566-2FF4E187E294}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BA9FB3-880C-4BAA-B566-2FF4E187E294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