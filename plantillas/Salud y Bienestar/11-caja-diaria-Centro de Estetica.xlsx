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<sst xmlns="http://schemas.openxmlformats.org/spreadsheetml/2006/main" count="129" uniqueCount="90">
  <si>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CENTRO DE ESTÉTICA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</si>
  <si>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</si>
  <si>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</si>
  <si>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</si>
  <si>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</si>
  <si>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</si>
  <si>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</si>
  <si>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</si>
  <si>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</si>
  <si>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</si>
  <si>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</si>
  <si>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</si>
  <si>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Micropigmentación</t>
  </si>
  <si>
    <t>08:30</t>
  </si>
  <si>
    <t>B001-10001</t>
  </si>
  <si>
    <t>Yape</t>
  </si>
  <si>
    <t>Depilación con cera</t>
  </si>
  <si>
    <t>09:15</t>
  </si>
  <si>
    <t>B001-10002</t>
  </si>
  <si>
    <t>Plin</t>
  </si>
  <si>
    <t>Radiofrecuencia</t>
  </si>
  <si>
    <t>09:45</t>
  </si>
  <si>
    <t>B001-10003</t>
  </si>
  <si>
    <t>10:20</t>
  </si>
  <si>
    <t>B001-10004</t>
  </si>
  <si>
    <t>Tarjeta</t>
  </si>
  <si>
    <t>Limpieza facial profunda</t>
  </si>
  <si>
    <t>11:00</t>
  </si>
  <si>
    <t>B001-10005</t>
  </si>
  <si>
    <t>11:40</t>
  </si>
  <si>
    <t>B001-10006</t>
  </si>
  <si>
    <t>Criolipólisis</t>
  </si>
  <si>
    <t>12:15</t>
  </si>
  <si>
    <t>B001-10007</t>
  </si>
  <si>
    <t>12:50</t>
  </si>
  <si>
    <t>B001-10008</t>
  </si>
  <si>
    <t>Transferencia</t>
  </si>
  <si>
    <t>13:30</t>
  </si>
  <si>
    <t>B001-10009</t>
  </si>
  <si>
    <t>14:10</t>
  </si>
  <si>
    <t>B001-10010</t>
  </si>
  <si>
    <t>Pestañas</t>
  </si>
  <si>
    <t>15:00</t>
  </si>
  <si>
    <t>B001-10011</t>
  </si>
  <si>
    <t>15:30</t>
  </si>
  <si>
    <t>B001-10012</t>
  </si>
  <si>
    <t>16:00</t>
  </si>
  <si>
    <t>B001-10013</t>
  </si>
  <si>
    <t>16:45</t>
  </si>
  <si>
    <t>B001-10014</t>
  </si>
  <si>
    <t>Dermapen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</si>
  <si>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</si>
  <si>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</si>
  <si>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</si>
  <si>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</si>
  <si>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</si>
  <si>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</si>
  <si>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</si>
  <si>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</si>
  <si>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</si>
  <si>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</si>
  <si>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</si>
  <si>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</si>
  <si>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</si>
  <si>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</si>
  <si>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</si>
  <si>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</si>
  <si>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</si>
  <si>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</si>
  <si>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</si>
  <si>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</si>
  <si>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</si>
  <si>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</si>
  <si>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</si>
  <si>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</si>
  <si>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</si>
  <si>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</si>
  <si>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</si>
  <si>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CENTRO DE ESTÉTICA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</si>
  <si>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</si>
  <si>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</si>
  <si>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</si>
  <si>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</si>
  <si>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</si>
  <si>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</si>
  <si>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</si>
  <si>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</si>
  <si>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</si>
  <si>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</si>
  <si>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Centro de Estética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</si>
</sst>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30.95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32.67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21.36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12</v>
      </c>
      <c r="E8" s="7">
        <v>57.29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26</v>
      </c>
      <c r="E9" s="5">
        <v>49.42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16</v>
      </c>
      <c r="E10" s="7">
        <v>31.75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31</v>
      </c>
      <c r="E11" s="5">
        <v>14.04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12</v>
      </c>
      <c r="E12" s="7">
        <v>57.65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16</v>
      </c>
      <c r="E13" s="5">
        <v>47.39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20</v>
      </c>
      <c r="E14" s="7">
        <v>8.11</v>
      </c>
      <c r="F14" s="7">
        <f>ROUND(E14/1.18*0.18,2)</f>
      </c>
      <c r="G14" s="7">
        <f>E14</f>
      </c>
    </row>
    <row r="15" spans="1:7" x14ac:dyDescent="0.25">
      <c r="A15" s="4" t="s">
        <v>39</v>
      </c>
      <c r="B15" s="4" t="s">
        <v>40</v>
      </c>
      <c r="C15" s="4" t="s">
        <v>11</v>
      </c>
      <c r="D15" s="4" t="s">
        <v>41</v>
      </c>
      <c r="E15" s="5">
        <v>44.18</v>
      </c>
      <c r="F15" s="5">
        <f>ROUND(E15/1.18*0.18,2)</f>
      </c>
      <c r="G15" s="5">
        <f>E15</f>
      </c>
    </row>
    <row r="16" spans="1:7" x14ac:dyDescent="0.25">
      <c r="A16" s="6" t="s">
        <v>42</v>
      </c>
      <c r="B16" s="6" t="s">
        <v>43</v>
      </c>
      <c r="C16" s="6" t="s">
        <v>15</v>
      </c>
      <c r="D16" s="6" t="s">
        <v>31</v>
      </c>
      <c r="E16" s="7">
        <v>28.4</v>
      </c>
      <c r="F16" s="7">
        <f>ROUND(E16/1.18*0.18,2)</f>
      </c>
      <c r="G16" s="7">
        <f>E16</f>
      </c>
    </row>
    <row r="17" spans="1:7" x14ac:dyDescent="0.25">
      <c r="A17" s="4" t="s">
        <v>44</v>
      </c>
      <c r="B17" s="4" t="s">
        <v>45</v>
      </c>
      <c r="C17" s="4" t="s">
        <v>19</v>
      </c>
      <c r="D17" s="4" t="s">
        <v>26</v>
      </c>
      <c r="E17" s="5">
        <v>11.31</v>
      </c>
      <c r="F17" s="5">
        <f>ROUND(E17/1.18*0.18,2)</f>
      </c>
      <c r="G17" s="5">
        <f>E17</f>
      </c>
    </row>
    <row r="18" spans="1:7" x14ac:dyDescent="0.25">
      <c r="A18" s="6" t="s">
        <v>46</v>
      </c>
      <c r="B18" s="6" t="s">
        <v>47</v>
      </c>
      <c r="C18" s="6" t="s">
        <v>11</v>
      </c>
      <c r="D18" s="6" t="s">
        <v>31</v>
      </c>
      <c r="E18" s="7">
        <v>3.71</v>
      </c>
      <c r="F18" s="7">
        <f>ROUND(E18/1.18*0.18,2)</f>
      </c>
      <c r="G18" s="7">
        <f>E18</f>
      </c>
    </row>
    <row r="19" spans="1:7" x14ac:dyDescent="0.25">
      <c r="A19" s="4" t="s">
        <v>48</v>
      </c>
      <c r="B19" s="4" t="s">
        <v>49</v>
      </c>
      <c r="C19" s="4" t="s">
        <v>25</v>
      </c>
      <c r="D19" s="4" t="s">
        <v>50</v>
      </c>
      <c r="E19" s="5">
        <v>48.71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50</v>
      </c>
      <c r="E20" s="7">
        <v>39.05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41</v>
      </c>
      <c r="E21" s="5">
        <v>53.84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31</v>
      </c>
      <c r="E22" s="7">
        <v>29.75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36</v>
      </c>
      <c r="D23" s="4" t="s">
        <v>20</v>
      </c>
      <c r="E23" s="5">
        <v>23.7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31</v>
      </c>
      <c r="E24" s="7">
        <v>50.93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3</v>
      </c>
      <c r="C5" s="5">
        <f>200*B5</f>
      </c>
    </row>
    <row r="6" spans="1:3" x14ac:dyDescent="0.25">
      <c r="A6" s="6" t="s">
        <v>67</v>
      </c>
      <c r="B6" s="9">
        <v>2</v>
      </c>
      <c r="C6" s="7">
        <f>100*B6</f>
      </c>
    </row>
    <row r="7" spans="1:3" x14ac:dyDescent="0.25">
      <c r="A7" s="4" t="s">
        <v>68</v>
      </c>
      <c r="B7" s="8">
        <v>0</v>
      </c>
      <c r="C7" s="5">
        <f>50*B7</f>
      </c>
    </row>
    <row r="8" spans="1:3" x14ac:dyDescent="0.25">
      <c r="A8" s="6" t="s">
        <v>69</v>
      </c>
      <c r="B8" s="9">
        <v>1</v>
      </c>
      <c r="C8" s="7">
        <f>20*B8</f>
      </c>
    </row>
    <row r="9" spans="1:3" x14ac:dyDescent="0.25">
      <c r="A9" s="4" t="s">
        <v>70</v>
      </c>
      <c r="B9" s="8">
        <v>9</v>
      </c>
      <c r="C9" s="5">
        <f>10*B9</f>
      </c>
    </row>
    <row r="10" spans="1:3" x14ac:dyDescent="0.25">
      <c r="A10" s="6" t="s">
        <v>71</v>
      </c>
      <c r="B10" s="9">
        <v>16</v>
      </c>
      <c r="C10" s="7">
        <f>5*B10</f>
      </c>
    </row>
    <row r="11" spans="1:3" x14ac:dyDescent="0.25">
      <c r="A11" s="4" t="s">
        <v>72</v>
      </c>
      <c r="B11" s="8">
        <v>14</v>
      </c>
      <c r="C11" s="5">
        <f>2*B11</f>
      </c>
    </row>
    <row r="12" spans="1:3" x14ac:dyDescent="0.25">
      <c r="A12" s="6" t="s">
        <v>73</v>
      </c>
      <c r="B12" s="9">
        <v>6</v>
      </c>
      <c r="C12" s="7">
        <f>1*B12</f>
      </c>
    </row>
    <row r="13" spans="1:3" x14ac:dyDescent="0.25">
      <c r="A13" s="4" t="s">
        <v>74</v>
      </c>
      <c r="B13" s="8">
        <v>18</v>
      </c>
      <c r="C13" s="5">
        <f>0.5*B13</f>
      </c>
    </row>
    <row r="14" spans="1:3" x14ac:dyDescent="0.25">
      <c r="A14" s="6" t="s">
        <v>75</v>
      </c>
      <c r="B14" s="9">
        <v>16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{CF653041-3963-4E61-A034-45DE28F44433}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F653041-3963-4E61-A034-45DE28F44433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