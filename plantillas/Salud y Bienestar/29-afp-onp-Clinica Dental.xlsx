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P ONP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<sst xmlns="http://schemas.openxmlformats.org/spreadsheetml/2006/main" count="22" uniqueCount="22">
  <si>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AFP/ONP — CLÍNICA DENTAL</t>
  </si>
  <si>
    <t>Compara sistemas de pensiones y simula tu jubilación</t>
  </si>
  <si>
    <t>📝 DATOS PERSONALES</t>
  </si>
  <si>
    <t>Edad actual</t>
  </si>
  <si>
    <t>Edad de jubilación</t>
  </si>
  <si>
    <t>Sueldo mensual</t>
  </si>
  <si>
    <t>Meses restantes</t>
  </si>
  <si>
    <t>📊 COMPARACIÓN DE SISTEMAS</t>
  </si>
  <si>
    <t>Concepto</t>
  </si>
  <si>
    <t>AFP Integra</t>
  </si>
  <si>
    <t>AFP Prima</t>
  </si>
  <si>
    <t>AFP Profuturo</t>
  </si>
  <si>
    <t>ONP</t>
  </si>
  <si>
    <t>Comisión mixta (%)</t>
  </si>
  <si>
    <t>Seguro (aprox. %)</t>
  </si>
  <si>
    <t>Aporte mensual (sueldo × comisión)</t>
  </si>
  <si>
    <t>Ahorro acumulado (aporte × meses × rendimiento)</t>
  </si>
  <si>
    <t>Pensión mensual estimada (ahorro / 240)</t>
  </si>
  <si>
    <t>💡 RECOMENDACIÓN</t>
  </si>
  <si>
    <t>El sistema con mejor pensión estimada es:</t>
  </si>
  <si>
    <t>💡 La ONP da pensión vitalicia pero sin ahorro acumulado. AFP puede dar mayor pensión pero depende del rendimiento.</t>
  </si>
  <si>
    <t>Clínica Dental · Calculadora AFP/ONP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</si>
</sst>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FEF9E0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6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30</v>
      </c>
    </row>
    <row r="6" spans="1:2" x14ac:dyDescent="0.25">
      <c r="A6" s="4" t="s">
        <v>4</v>
      </c>
      <c r="B6" s="6">
        <v>65</v>
      </c>
    </row>
    <row r="7" spans="1:2" x14ac:dyDescent="0.25">
      <c r="A7" s="4" t="s">
        <v>5</v>
      </c>
      <c r="B7" s="7">
        <v>3500</v>
      </c>
    </row>
    <row r="8" spans="1:2" x14ac:dyDescent="0.25">
      <c r="A8" s="4" t="s">
        <v>6</v>
      </c>
      <c r="B8" s="5">
        <f>(B6-B5)*12</f>
      </c>
    </row>
    <row r="10" spans="1:5" x14ac:dyDescent="0.25">
      <c r="A10" s="8" t="s">
        <v>7</v>
      </c>
      <c r="B10" s="8"/>
      <c r="C10" s="8"/>
      <c r="D10" s="8"/>
      <c r="E10" s="8"/>
    </row>
    <row r="11" ht="22" customHeight="1" spans="1:5" x14ac:dyDescent="0.25">
      <c r="A11" s="9" t="s">
        <v>8</v>
      </c>
      <c r="B11" s="9" t="s">
        <v>9</v>
      </c>
      <c r="C11" s="9" t="s">
        <v>10</v>
      </c>
      <c r="D11" s="9" t="s">
        <v>11</v>
      </c>
      <c r="E11" s="9" t="s">
        <v>12</v>
      </c>
    </row>
    <row r="12" spans="1:5" x14ac:dyDescent="0.25">
      <c r="A12" s="4" t="s">
        <v>13</v>
      </c>
      <c r="B12" s="10">
        <v>11.95</v>
      </c>
      <c r="C12" s="10">
        <v>12.45</v>
      </c>
      <c r="D12" s="10">
        <v>12.6</v>
      </c>
      <c r="E12" s="10">
        <v>13</v>
      </c>
    </row>
    <row r="13" spans="1:5" x14ac:dyDescent="0.25">
      <c r="A13" s="11" t="s">
        <v>14</v>
      </c>
      <c r="B13" s="12">
        <v>0.55</v>
      </c>
      <c r="C13" s="12">
        <v>0.55</v>
      </c>
      <c r="D13" s="12">
        <v>0.55</v>
      </c>
      <c r="E13" s="12">
        <v>0</v>
      </c>
    </row>
    <row r="14" spans="1:5" x14ac:dyDescent="0.25">
      <c r="A14" s="11" t="s">
        <v>15</v>
      </c>
      <c r="B14" s="13">
        <f>ROUND(B$7*B12,2)</f>
      </c>
      <c r="C14" s="13">
        <f>ROUND(B$7*C12,2)</f>
      </c>
      <c r="D14" s="13">
        <f>ROUND(B$7*D12,2)</f>
      </c>
      <c r="E14" s="13">
        <f>ROUND(B$7*E12,2)</f>
      </c>
    </row>
    <row r="15" spans="1:5" x14ac:dyDescent="0.25">
      <c r="A15" s="14" t="s">
        <v>16</v>
      </c>
      <c r="B15" s="15">
        <f>ROUND(B14*B$8*1.06,2)</f>
      </c>
      <c r="C15" s="15">
        <f>ROUND(C14*B$8*1.05,2)</f>
      </c>
      <c r="D15" s="15">
        <f>ROUND(D14*B$8*1.04,2)</f>
      </c>
      <c r="E15" s="15">
        <f>ROUND(E14*B$8*1.03,2)</f>
      </c>
    </row>
    <row r="16" spans="1:5" x14ac:dyDescent="0.25">
      <c r="A16" s="16" t="s">
        <v>17</v>
      </c>
      <c r="B16" s="17">
        <f>ROUND(B15/240,2)</f>
      </c>
      <c r="C16" s="17">
        <f>ROUND(C15/240,2)</f>
      </c>
      <c r="D16" s="17">
        <f>ROUND(D15/240,2)</f>
      </c>
      <c r="E16" s="17">
        <f>ROUND(E15/240,2)</f>
      </c>
    </row>
    <row r="18" spans="1:5" x14ac:dyDescent="0.25">
      <c r="A18" s="18" t="s">
        <v>18</v>
      </c>
      <c r="B18" s="18"/>
      <c r="C18" s="18"/>
      <c r="D18" s="18"/>
      <c r="E18" s="18"/>
    </row>
    <row r="19" spans="1:2" x14ac:dyDescent="0.25">
      <c r="A19" s="19" t="s">
        <v>19</v>
      </c>
      <c r="B19" s="20">
        <f>IF(B16=MAX(B16:E16),"AFP Integra",IF(C16=MAX(B16:E16),"AFP Prima",IF(D16=MAX(B16:E16),"AFP Profuturo","ONP")))</f>
      </c>
    </row>
    <row r="21" spans="1:1" x14ac:dyDescent="0.25">
      <c r="A21" s="21" t="s">
        <v>20</v>
      </c>
    </row>
    <row r="23" spans="1:5" x14ac:dyDescent="0.25">
      <c r="A23" s="22" t="s">
        <v>21</v>
      </c>
      <c r="B23" s="22"/>
      <c r="C23" s="22"/>
      <c r="D23" s="22"/>
      <c r="E23" s="22"/>
    </row>
  </sheetData>
  <mergeCells count="6">
    <mergeCell ref="A1:E1"/>
    <mergeCell ref="A2:E2"/>
    <mergeCell ref="A4:E4"/>
    <mergeCell ref="A10:E10"/>
    <mergeCell ref="A18:E18"/>
    <mergeCell ref="A23:E23"/>
  </mergeCells>
  <conditionalFormatting sqref="B16:E16">
    <cfRule type="cellIs" dxfId="0" priority="1" operator="equal">
      <formula>MAX($B$16:$E$16)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AFP ONP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