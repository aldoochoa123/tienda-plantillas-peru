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<sst xmlns="http://schemas.openxmlformats.org/spreadsheetml/2006/main" count="123" uniqueCount="45">
  <si>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CENTRO DE ESTÉTICA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</si>
  <si>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</si>
  <si>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</si>
  <si>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</si>
  <si>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</si>
  <si>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</si>
  <si>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</si>
  <si>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</si>
  <si>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</si>
  <si>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</si>
  <si>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</si>
  <si>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</si>
  <si>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</si>
  <si>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</si>
  <si>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Depilación con cera</t>
  </si>
  <si>
    <t>Contado</t>
  </si>
  <si>
    <t>Micropigmentación</t>
  </si>
  <si>
    <t>Crédito 15 días</t>
  </si>
  <si>
    <t>Limpieza facial profunda</t>
  </si>
  <si>
    <t>Crédito 30 días</t>
  </si>
  <si>
    <t>Importaciones del Sur S.A.</t>
  </si>
  <si>
    <t>20698765432</t>
  </si>
  <si>
    <t>Dermapen</t>
  </si>
  <si>
    <t>AgroPacas S.A.C.</t>
  </si>
  <si>
    <t>20534567891</t>
  </si>
  <si>
    <t>Tratamiento reductora</t>
  </si>
  <si>
    <t>Distribuciones Andinas</t>
  </si>
  <si>
    <t>20612309876</t>
  </si>
  <si>
    <t>Mayorista Central E.I.R.L.</t>
  </si>
  <si>
    <t>20456789012</t>
  </si>
  <si>
    <t>Criolipólisis</t>
  </si>
  <si>
    <t>Mayorista San Martín</t>
  </si>
  <si>
    <t>20487654321</t>
  </si>
  <si>
    <t/>
  </si>
  <si>
    <t>RESUMEN DE COMPRAS — CENTRO DE ESTÉTICA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</si>
  <si>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</si>
  <si>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</si>
  <si>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</si>
  <si>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</si>
  <si>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</si>
  <si>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</si>
  <si>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</si>
  <si>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</si>
  <si>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</si>
  <si>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Centro de Estética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</si>
</sst>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46075</v>
      </c>
      <c r="B5" s="5" t="s">
        <v>12</v>
      </c>
      <c r="C5" s="5" t="s">
        <v>13</v>
      </c>
      <c r="D5" s="5" t="s">
        <v>14</v>
      </c>
      <c r="E5" s="6">
        <v>17</v>
      </c>
      <c r="F5" s="7">
        <v>73.99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46152</v>
      </c>
      <c r="B6" s="9" t="s">
        <v>12</v>
      </c>
      <c r="C6" s="9" t="s">
        <v>13</v>
      </c>
      <c r="D6" s="9" t="s">
        <v>16</v>
      </c>
      <c r="E6" s="10">
        <v>27</v>
      </c>
      <c r="F6" s="11">
        <v>3.19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46121</v>
      </c>
      <c r="B7" s="5" t="s">
        <v>12</v>
      </c>
      <c r="C7" s="5" t="s">
        <v>13</v>
      </c>
      <c r="D7" s="5" t="s">
        <v>18</v>
      </c>
      <c r="E7" s="6">
        <v>28</v>
      </c>
      <c r="F7" s="7">
        <v>21.76</v>
      </c>
      <c r="G7" s="7">
        <f>E7*F7</f>
      </c>
      <c r="H7" s="7">
        <f>ROUND(G7*0.18,2)</f>
      </c>
      <c r="I7" s="7">
        <f>G7+H7</f>
      </c>
      <c r="J7" s="5" t="s">
        <v>19</v>
      </c>
    </row>
    <row r="8" spans="1:10" x14ac:dyDescent="0.25">
      <c r="A8" s="8">
        <v>46187</v>
      </c>
      <c r="B8" s="9" t="s">
        <v>20</v>
      </c>
      <c r="C8" s="9" t="s">
        <v>21</v>
      </c>
      <c r="D8" s="9" t="s">
        <v>22</v>
      </c>
      <c r="E8" s="10">
        <v>5</v>
      </c>
      <c r="F8" s="11">
        <v>72.52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46038</v>
      </c>
      <c r="B9" s="5" t="s">
        <v>23</v>
      </c>
      <c r="C9" s="5" t="s">
        <v>24</v>
      </c>
      <c r="D9" s="5" t="s">
        <v>14</v>
      </c>
      <c r="E9" s="6">
        <v>7</v>
      </c>
      <c r="F9" s="7">
        <v>41.24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46099</v>
      </c>
      <c r="B10" s="9" t="s">
        <v>20</v>
      </c>
      <c r="C10" s="9" t="s">
        <v>21</v>
      </c>
      <c r="D10" s="9" t="s">
        <v>25</v>
      </c>
      <c r="E10" s="10">
        <v>13</v>
      </c>
      <c r="F10" s="11">
        <v>3.62</v>
      </c>
      <c r="G10" s="11">
        <f>E10*F10</f>
      </c>
      <c r="H10" s="11">
        <f>ROUND(G10*0.18,2)</f>
      </c>
      <c r="I10" s="11">
        <f>G10+H10</f>
      </c>
      <c r="J10" s="9" t="s">
        <v>19</v>
      </c>
    </row>
    <row r="11" spans="1:10" x14ac:dyDescent="0.25">
      <c r="A11" s="4">
        <v>46143</v>
      </c>
      <c r="B11" s="5" t="s">
        <v>26</v>
      </c>
      <c r="C11" s="5" t="s">
        <v>27</v>
      </c>
      <c r="D11" s="5" t="s">
        <v>22</v>
      </c>
      <c r="E11" s="6">
        <v>2</v>
      </c>
      <c r="F11" s="7">
        <v>20.9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46165</v>
      </c>
      <c r="B12" s="9" t="s">
        <v>28</v>
      </c>
      <c r="C12" s="9" t="s">
        <v>29</v>
      </c>
      <c r="D12" s="9" t="s">
        <v>16</v>
      </c>
      <c r="E12" s="10">
        <v>5</v>
      </c>
      <c r="F12" s="11">
        <v>10.29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46107</v>
      </c>
      <c r="B13" s="5" t="s">
        <v>28</v>
      </c>
      <c r="C13" s="5" t="s">
        <v>29</v>
      </c>
      <c r="D13" s="5" t="s">
        <v>25</v>
      </c>
      <c r="E13" s="6">
        <v>24</v>
      </c>
      <c r="F13" s="7">
        <v>11.96</v>
      </c>
      <c r="G13" s="7">
        <f>E13*F13</f>
      </c>
      <c r="H13" s="7">
        <f>ROUND(G13*0.18,2)</f>
      </c>
      <c r="I13" s="7">
        <f>G13+H13</f>
      </c>
      <c r="J13" s="5" t="s">
        <v>19</v>
      </c>
    </row>
    <row r="14" spans="1:10" x14ac:dyDescent="0.25">
      <c r="A14" s="8">
        <v>46079</v>
      </c>
      <c r="B14" s="9" t="s">
        <v>26</v>
      </c>
      <c r="C14" s="9" t="s">
        <v>27</v>
      </c>
      <c r="D14" s="9" t="s">
        <v>18</v>
      </c>
      <c r="E14" s="10">
        <v>21</v>
      </c>
      <c r="F14" s="11">
        <v>40.2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46076</v>
      </c>
      <c r="B15" s="5" t="s">
        <v>12</v>
      </c>
      <c r="C15" s="5" t="s">
        <v>13</v>
      </c>
      <c r="D15" s="5" t="s">
        <v>30</v>
      </c>
      <c r="E15" s="6">
        <v>2</v>
      </c>
      <c r="F15" s="7">
        <v>8.95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46153</v>
      </c>
      <c r="B16" s="9" t="s">
        <v>31</v>
      </c>
      <c r="C16" s="9" t="s">
        <v>32</v>
      </c>
      <c r="D16" s="9" t="s">
        <v>18</v>
      </c>
      <c r="E16" s="10">
        <v>30</v>
      </c>
      <c r="F16" s="11">
        <v>60.98</v>
      </c>
      <c r="G16" s="11">
        <f>E16*F16</f>
      </c>
      <c r="H16" s="11">
        <f>ROUND(G16*0.18,2)</f>
      </c>
      <c r="I16" s="11">
        <f>G16+H16</f>
      </c>
      <c r="J16" s="9" t="s">
        <v>19</v>
      </c>
    </row>
    <row r="17" spans="1:10" x14ac:dyDescent="0.25">
      <c r="A17" s="4">
        <v>46188</v>
      </c>
      <c r="B17" s="5" t="s">
        <v>12</v>
      </c>
      <c r="C17" s="5" t="s">
        <v>13</v>
      </c>
      <c r="D17" s="5" t="s">
        <v>25</v>
      </c>
      <c r="E17" s="6">
        <v>30</v>
      </c>
      <c r="F17" s="7">
        <v>63.21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46131</v>
      </c>
      <c r="B18" s="9" t="s">
        <v>23</v>
      </c>
      <c r="C18" s="9" t="s">
        <v>24</v>
      </c>
      <c r="D18" s="9" t="s">
        <v>18</v>
      </c>
      <c r="E18" s="10">
        <v>6</v>
      </c>
      <c r="F18" s="11">
        <v>6.88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46061</v>
      </c>
      <c r="B19" s="5" t="s">
        <v>23</v>
      </c>
      <c r="C19" s="5" t="s">
        <v>24</v>
      </c>
      <c r="D19" s="5" t="s">
        <v>16</v>
      </c>
      <c r="E19" s="6">
        <v>3</v>
      </c>
      <c r="F19" s="7">
        <v>44.77</v>
      </c>
      <c r="G19" s="7">
        <f>E19*F19</f>
      </c>
      <c r="H19" s="7">
        <f>ROUND(G19*0.18,2)</f>
      </c>
      <c r="I19" s="7">
        <f>G19+H19</f>
      </c>
      <c r="J19" s="5" t="s">
        <v>19</v>
      </c>
    </row>
    <row r="20" spans="1:10" x14ac:dyDescent="0.25">
      <c r="A20" s="8">
        <v>46216</v>
      </c>
      <c r="B20" s="9" t="s">
        <v>31</v>
      </c>
      <c r="C20" s="9" t="s">
        <v>32</v>
      </c>
      <c r="D20" s="9" t="s">
        <v>30</v>
      </c>
      <c r="E20" s="10">
        <v>3</v>
      </c>
      <c r="F20" s="11">
        <v>37.43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46210</v>
      </c>
      <c r="B21" s="5" t="s">
        <v>12</v>
      </c>
      <c r="C21" s="5" t="s">
        <v>13</v>
      </c>
      <c r="D21" s="5" t="s">
        <v>14</v>
      </c>
      <c r="E21" s="6">
        <v>22</v>
      </c>
      <c r="F21" s="7">
        <v>81.18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46106</v>
      </c>
      <c r="B22" s="9" t="s">
        <v>31</v>
      </c>
      <c r="C22" s="9" t="s">
        <v>32</v>
      </c>
      <c r="D22" s="9" t="s">
        <v>18</v>
      </c>
      <c r="E22" s="10">
        <v>5</v>
      </c>
      <c r="F22" s="11">
        <v>67.01</v>
      </c>
      <c r="G22" s="11">
        <f>E22*F22</f>
      </c>
      <c r="H22" s="11">
        <f>ROUND(G22*0.18,2)</f>
      </c>
      <c r="I22" s="11">
        <f>G22+H22</f>
      </c>
      <c r="J22" s="9" t="s">
        <v>19</v>
      </c>
    </row>
    <row r="23" spans="1:10" x14ac:dyDescent="0.25">
      <c r="A23" s="4">
        <v>46049</v>
      </c>
      <c r="B23" s="5" t="s">
        <v>31</v>
      </c>
      <c r="C23" s="5" t="s">
        <v>32</v>
      </c>
      <c r="D23" s="5" t="s">
        <v>30</v>
      </c>
      <c r="E23" s="6">
        <v>8</v>
      </c>
      <c r="F23" s="7">
        <v>40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46190</v>
      </c>
      <c r="B24" s="9" t="s">
        <v>23</v>
      </c>
      <c r="C24" s="9" t="s">
        <v>24</v>
      </c>
      <c r="D24" s="9" t="s">
        <v>30</v>
      </c>
      <c r="E24" s="10">
        <v>17</v>
      </c>
      <c r="F24" s="11">
        <v>56.95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28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23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31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39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19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{8DF01503-1AAD-427C-A3FE-B463DC5F8C19}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{DAE8BCB2-40AE-4156-B2D2-00ABA0646860}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F01503-1AAD-427C-A3FE-B463DC5F8C1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AE8BCB2-40AE-4156-B2D2-00ABA064686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