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<sst xmlns="http://schemas.openxmlformats.org/spreadsheetml/2006/main" count="129" uniqueCount="90">
  <si>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LABORATORIO CLÍNICO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</si>
  <si>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</si>
  <si>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</si>
  <si>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</si>
  <si>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</si>
  <si>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</si>
  <si>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</si>
  <si>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</si>
  <si>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</si>
  <si>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</si>
  <si>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</si>
  <si>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</si>
  <si>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PCR</t>
  </si>
  <si>
    <t>08:30</t>
  </si>
  <si>
    <t>B001-10001</t>
  </si>
  <si>
    <t>Yape</t>
  </si>
  <si>
    <t>09:15</t>
  </si>
  <si>
    <t>B001-10002</t>
  </si>
  <si>
    <t>Plin</t>
  </si>
  <si>
    <t>Examen de orina</t>
  </si>
  <si>
    <t>09:45</t>
  </si>
  <si>
    <t>B001-10003</t>
  </si>
  <si>
    <t>Hepatitis</t>
  </si>
  <si>
    <t>10:20</t>
  </si>
  <si>
    <t>B001-10004</t>
  </si>
  <si>
    <t>Tarjeta</t>
  </si>
  <si>
    <t>Glucosa</t>
  </si>
  <si>
    <t>11:00</t>
  </si>
  <si>
    <t>B001-10005</t>
  </si>
  <si>
    <t>Perfil tiroideo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</si>
  <si>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</si>
  <si>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</si>
  <si>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</si>
  <si>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</si>
  <si>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</si>
  <si>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</si>
  <si>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</si>
  <si>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</si>
  <si>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</si>
  <si>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</si>
  <si>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</si>
  <si>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</si>
  <si>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</si>
  <si>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</si>
  <si>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</si>
  <si>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</si>
  <si>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</si>
  <si>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</si>
  <si>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</si>
  <si>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</si>
  <si>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</si>
  <si>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Hemograma</t>
  </si>
  <si>
    <t>17:45</t>
  </si>
  <si>
    <t>B001-10016</t>
  </si>
  <si>
    <t>Prueba de embarazo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</si>
  <si>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</si>
  <si>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</si>
  <si>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</si>
  <si>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</si>
  <si>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</si>
  <si>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</si>
  <si>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</si>
  <si>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</si>
  <si>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</si>
  <si>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</si>
  <si>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</si>
  <si>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</si>
  <si>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</si>
  <si>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</si>
  <si>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</si>
  <si>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</si>
  <si>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</si>
  <si>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</si>
  <si>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</si>
  <si>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</si>
  <si>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</si>
  <si>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</si>
  <si>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</si>
  <si>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LABORATORIO CLÍNICO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</si>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</sst>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3.69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14.7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50.77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53.77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13.1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27.74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26</v>
      </c>
      <c r="E11" s="5">
        <v>24.47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19</v>
      </c>
      <c r="E12" s="7">
        <v>33.42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26</v>
      </c>
      <c r="E13" s="5">
        <v>38.9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22</v>
      </c>
      <c r="E14" s="7">
        <v>56.78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12.49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12</v>
      </c>
      <c r="E16" s="7">
        <v>42.28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18</v>
      </c>
      <c r="D17" s="4" t="s">
        <v>19</v>
      </c>
      <c r="E17" s="5">
        <v>19.69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12</v>
      </c>
      <c r="E18" s="7">
        <v>12.99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19</v>
      </c>
      <c r="E19" s="5">
        <v>20.71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51</v>
      </c>
      <c r="E20" s="7">
        <v>13.69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42.23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26</v>
      </c>
      <c r="E22" s="7">
        <v>35.33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19</v>
      </c>
      <c r="E23" s="5">
        <v>53.26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19</v>
      </c>
      <c r="E24" s="7">
        <v>45.3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1</v>
      </c>
      <c r="C7" s="5">
        <f>50*B7</f>
      </c>
    </row>
    <row r="8" spans="1:3" x14ac:dyDescent="0.25">
      <c r="A8" s="6" t="s">
        <v>69</v>
      </c>
      <c r="B8" s="9">
        <v>8</v>
      </c>
      <c r="C8" s="7">
        <f>20*B8</f>
      </c>
    </row>
    <row r="9" spans="1:3" x14ac:dyDescent="0.25">
      <c r="A9" s="4" t="s">
        <v>70</v>
      </c>
      <c r="B9" s="8">
        <v>11</v>
      </c>
      <c r="C9" s="5">
        <f>10*B9</f>
      </c>
    </row>
    <row r="10" spans="1:3" x14ac:dyDescent="0.25">
      <c r="A10" s="6" t="s">
        <v>71</v>
      </c>
      <c r="B10" s="9">
        <v>15</v>
      </c>
      <c r="C10" s="7">
        <f>5*B10</f>
      </c>
    </row>
    <row r="11" spans="1:3" x14ac:dyDescent="0.25">
      <c r="A11" s="4" t="s">
        <v>72</v>
      </c>
      <c r="B11" s="8">
        <v>3</v>
      </c>
      <c r="C11" s="5">
        <f>2*B11</f>
      </c>
    </row>
    <row r="12" spans="1:3" x14ac:dyDescent="0.25">
      <c r="A12" s="6" t="s">
        <v>73</v>
      </c>
      <c r="B12" s="9">
        <v>15</v>
      </c>
      <c r="C12" s="7">
        <f>1*B12</f>
      </c>
    </row>
    <row r="13" spans="1:3" x14ac:dyDescent="0.25">
      <c r="A13" s="4" t="s">
        <v>74</v>
      </c>
      <c r="B13" s="8">
        <v>12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{CDCC6713-2385-41B3-BFC5-16FF9370279D}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CC6713-2385-41B3-BFC5-16FF9370279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