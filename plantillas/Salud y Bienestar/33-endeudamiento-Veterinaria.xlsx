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ndeudamiento" state="visible" r:id="rId4"/>
  </sheets>
  <calcPr calcId="171027"/>
</workbook>
</file>

<file path=xl/sharedStrings.xml><?xml version="1.0" encoding="utf-8"?>
<sst xmlns="http://schemas.openxmlformats.org/spreadsheetml/2006/main" count="18" uniqueCount="18">
  <si>
    <t>CAPACIDAD DE ENDEUDAMIENTO — VETERINARIA</t>
  </si>
  <si>
    <t>¿Cuánto puedo pedir prestado? · Regla SBS</t>
  </si>
  <si>
    <t>📝 TUS FINANZAS</t>
  </si>
  <si>
    <t>Ingreso mensual neto (S/)</t>
  </si>
  <si>
    <t>Gastos fijos mensuales (S/)</t>
  </si>
  <si>
    <t>Otras deudas actuales (S/)</t>
  </si>
  <si>
    <t>Cuota máxima permitida (35% ingreso)</t>
  </si>
  <si>
    <t>Cuota disponible (máx - deudas)</t>
  </si>
  <si>
    <t>📊 ¿CUÁNTO ME PRESTAN?</t>
  </si>
  <si>
    <t>Plazo (meses)</t>
  </si>
  <si>
    <t>Tasa Mensual</t>
  </si>
  <si>
    <t>Préstamo Máximo</t>
  </si>
  <si>
    <t>Total a Pagar</t>
  </si>
  <si>
    <t>⚠️ REGLA DE ORO SBS</t>
  </si>
  <si>
    <t>Tus deudas no deben superar el 35% de tus ingresos.</t>
  </si>
  <si>
    <t>Deuda actual:</t>
  </si>
  <si>
    <t>% de ingreso:</t>
  </si>
  <si>
    <t>Veterinaria · Capacidad de Endeudamiento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</si>
</sst>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S/&quot; #,##0.00"/>
    <numFmt numFmtId="165" formatCode="0.0%"/>
    <numFmt numFmtId="166" formatCode="0.0&quot;%&quot;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FEF9E0"/>
      </patternFill>
    </fill>
    <fill>
      <patternFill patternType="solid">
        <fgColor rgb="FFF1F5F3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3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3" fontId="4" fillId="6" borderId="1" xfId="0" applyNumberFormat="1" applyFont="1" applyFill="1" applyBorder="1" applyAlignment="1">
      <alignment horizontal="left" vertical="center"/>
    </xf>
    <xf numFmtId="165" fontId="4" fillId="6" borderId="1" xfId="0" applyNumberFormat="1" applyFont="1" applyFill="1" applyBorder="1" applyAlignment="1">
      <alignment horizontal="right" vertical="center"/>
    </xf>
    <xf numFmtId="164" fontId="4" fillId="6" borderId="1" xfId="0" applyNumberFormat="1" applyFont="1" applyFill="1" applyBorder="1" applyAlignment="1">
      <alignment horizontal="right" vertical="center"/>
    </xf>
    <xf numFmtId="0" fontId="3" fillId="7" borderId="0" xfId="0" applyFont="1" applyFill="1" applyAlignment="1">
      <alignment horizontal="left" vertical="center"/>
    </xf>
    <xf numFmtId="166" fontId="4" fillId="0" borderId="1" xfId="0" applyNumberFormat="1" applyFont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 showGridLines="0"/>
  </sheetViews>
  <sheetFormatPr defaultRowHeight="15" outlineLevelRow="0" outlineLevelCol="0" x14ac:dyDescent="55"/>
  <cols>
    <col min="1" max="1" width="34" customWidth="1"/>
    <col min="2" max="4" width="18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4" x14ac:dyDescent="0.25">
      <c r="A4" s="3" t="s">
        <v>2</v>
      </c>
      <c r="B4" s="3"/>
      <c r="C4" s="3"/>
      <c r="D4" s="3"/>
    </row>
    <row r="5" spans="1:2" x14ac:dyDescent="0.25">
      <c r="A5" s="4" t="s">
        <v>3</v>
      </c>
      <c r="B5" s="5">
        <v>4500</v>
      </c>
    </row>
    <row r="6" spans="1:2" x14ac:dyDescent="0.25">
      <c r="A6" s="4" t="s">
        <v>4</v>
      </c>
      <c r="B6" s="5">
        <v>1800</v>
      </c>
    </row>
    <row r="7" spans="1:2" x14ac:dyDescent="0.25">
      <c r="A7" s="4" t="s">
        <v>5</v>
      </c>
      <c r="B7" s="5">
        <v>500</v>
      </c>
    </row>
    <row r="8" spans="1:2" x14ac:dyDescent="0.25">
      <c r="A8" s="6" t="s">
        <v>6</v>
      </c>
      <c r="B8" s="7">
        <f>ROUND(B5*0.35,2)</f>
      </c>
    </row>
    <row r="9" spans="1:2" x14ac:dyDescent="0.25">
      <c r="A9" s="8" t="s">
        <v>7</v>
      </c>
      <c r="B9" s="9">
        <f>MAX(B8-B7,0)</f>
      </c>
    </row>
    <row r="11" spans="1:4" x14ac:dyDescent="0.25">
      <c r="A11" s="10" t="s">
        <v>8</v>
      </c>
      <c r="B11" s="10"/>
      <c r="C11" s="10"/>
      <c r="D11" s="10"/>
    </row>
    <row r="12" ht="22" customHeight="1" spans="1:4" x14ac:dyDescent="0.25">
      <c r="A12" s="11" t="s">
        <v>9</v>
      </c>
      <c r="B12" s="11" t="s">
        <v>10</v>
      </c>
      <c r="C12" s="11" t="s">
        <v>11</v>
      </c>
      <c r="D12" s="11" t="s">
        <v>12</v>
      </c>
    </row>
    <row r="13" spans="1:4" x14ac:dyDescent="0.25">
      <c r="A13" s="12">
        <v>12</v>
      </c>
      <c r="B13" s="13">
        <v>0.019407784796975455</v>
      </c>
      <c r="C13" s="14">
        <f>ROUND(B9*((1+B13)^12-1)/(B13*(1+B13)^12),2)</f>
      </c>
      <c r="D13" s="14">
        <f>ROUND(C13*A13,2)</f>
      </c>
    </row>
    <row r="14" spans="1:4" x14ac:dyDescent="0.25">
      <c r="A14" s="15">
        <v>24</v>
      </c>
      <c r="B14" s="16">
        <v>0.01717976828905743</v>
      </c>
      <c r="C14" s="17">
        <f>ROUND(B9*((1+B14)^24-1)/(B14*(1+B14)^24),2)</f>
      </c>
      <c r="D14" s="17">
        <f>ROUND(C14*A14,2)</f>
      </c>
    </row>
    <row r="15" spans="1:4" x14ac:dyDescent="0.25">
      <c r="A15" s="12">
        <v>36</v>
      </c>
      <c r="B15" s="13">
        <v>0.012594964660981188</v>
      </c>
      <c r="C15" s="14">
        <f>ROUND(B9*((1+B15)^36-1)/(B15*(1+B15)^36),2)</f>
      </c>
      <c r="D15" s="14">
        <f>ROUND(C15*A15,2)</f>
      </c>
    </row>
    <row r="16" spans="1:4" x14ac:dyDescent="0.25">
      <c r="A16" s="15">
        <v>48</v>
      </c>
      <c r="B16" s="16">
        <v>0.019539136849129172</v>
      </c>
      <c r="C16" s="17">
        <f>ROUND(B9*((1+B16)^48-1)/(B16*(1+B16)^48),2)</f>
      </c>
      <c r="D16" s="17">
        <f>ROUND(C16*A16,2)</f>
      </c>
    </row>
    <row r="17" spans="1:4" x14ac:dyDescent="0.25">
      <c r="A17" s="12">
        <v>60</v>
      </c>
      <c r="B17" s="13">
        <v>0.013674674850737058</v>
      </c>
      <c r="C17" s="14">
        <f>ROUND(B9*((1+B17)^60-1)/(B17*(1+B17)^60),2)</f>
      </c>
      <c r="D17" s="14">
        <f>ROUND(C17*A17,2)</f>
      </c>
    </row>
    <row r="19" spans="1:4" x14ac:dyDescent="0.25">
      <c r="A19" s="18" t="s">
        <v>13</v>
      </c>
      <c r="B19" s="18"/>
      <c r="C19" s="18"/>
      <c r="D19" s="18"/>
    </row>
    <row r="20" spans="1:1" x14ac:dyDescent="0.25">
      <c r="A20" s="4" t="s">
        <v>14</v>
      </c>
    </row>
    <row r="21" spans="1:4" x14ac:dyDescent="0.25">
      <c r="A21" s="4" t="s">
        <v>15</v>
      </c>
      <c r="B21" s="14">
        <f>B7</f>
      </c>
      <c r="C21" s="4" t="s">
        <v>16</v>
      </c>
      <c r="D21" s="19">
        <f>ROUND(B7/B5*100,1)</f>
      </c>
    </row>
    <row r="23" spans="1:4" x14ac:dyDescent="0.25">
      <c r="A23" s="20" t="s">
        <v>17</v>
      </c>
      <c r="B23" s="20"/>
      <c r="C23" s="20"/>
      <c r="D23" s="20"/>
    </row>
  </sheetData>
  <mergeCells count="6">
    <mergeCell ref="A1:E1"/>
    <mergeCell ref="A2:E2"/>
    <mergeCell ref="A4:D4"/>
    <mergeCell ref="A11:D11"/>
    <mergeCell ref="A19:D19"/>
    <mergeCell ref="A23:D23"/>
  </mergeCells>
  <conditionalFormatting sqref="C13:C17">
    <cfRule type="dataBar" priority="1">
      <dataBar>
        <cfvo type="min"/>
        <cfvo type="max"/>
        <color rgb="FF16A34A"/>
      </dataBar>
      <extLst>
        <ext xmlns:x14="http://schemas.microsoft.com/office/spreadsheetml/2009/9/main" uri="{B025F937-C7B1-47D3-B67F-A62EFF666E3E}">
          <x14:id>{3BA8589B-F0AB-4473-B46E-AFB0C5C195DA}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BA8589B-F0AB-4473-B46E-AFB0C5C195DA}">
            <x14:dataBar minLength="0" maxLength="100">
              <x14:cfvo type="min"/>
              <x14:cfvo type="max"/>
            </x14:dataBar>
          </x14:cfRule>
          <xm:sqref>C13:C17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Endeudamiento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2026-08-23T16:46:30Z</dcterms:created>
  <dcterms:modified xsi:type="dcterms:W3CDTF">2026-08-23T16:46:30Z</dcterms:modified>
</cp:coreProperties>
</file>