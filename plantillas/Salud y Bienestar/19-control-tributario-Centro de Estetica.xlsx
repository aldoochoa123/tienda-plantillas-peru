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ibutario" state="visible" r:id="rId4"/>
  </sheets>
  <calcPr calcId="171027"/>
</workbook>
</file>

<file path=xl/sharedStrings.xml><?xml version="1.0" encoding="utf-8"?>
<sst xmlns="http://schemas.openxmlformats.org/spreadsheetml/2006/main" count="29" uniqueCount="29">
  <si>
    <t>CONTROL TRIBUTARIO — CENTRO DE ESTÉTICA</t>
  </si>
  <si>
    <t>IGV Mensual, PDT 621 y Renta Anual</t>
  </si>
  <si>
    <t>DECLARACIÓN MENSUAL DE IGV</t>
  </si>
  <si>
    <t>Mes</t>
  </si>
  <si>
    <t>Ventas Gravadas</t>
  </si>
  <si>
    <t>IGV Ventas</t>
  </si>
  <si>
    <t>Compras Gravadas</t>
  </si>
  <si>
    <t>IGV Compras</t>
  </si>
  <si>
    <t>IGV a Pagar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</si>
  <si>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</si>
  <si>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</si>
  <si>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</si>
  <si>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</si>
  <si>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</si>
  <si>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</si>
  <si>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</si>
  <si>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</si>
  <si>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</si>
  <si>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</si>
  <si>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</si>
  <si>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</si>
  <si>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</si>
  <si>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>PDT 621 - RESUMEN ANUAL</t>
  </si>
  <si>
    <t>Ingresos Brutos Anuales</t>
  </si>
  <si>
    <t>Renta Neta Imponible</t>
  </si>
  <si>
    <t>Impuesto Anual (29%)</t>
  </si>
  <si>
    <t>Pagos a Cuenta (cuotas)</t>
  </si>
  <si>
    <t>Saldo a Pagar / Devolver</t>
  </si>
  <si>
    <t>Centro de Estética · Control Tributario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</si>
</sst>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left" vertical="center"/>
    </xf>
    <xf numFmtId="164" fontId="4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164" fontId="6" fillId="6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 showGridLines="0"/>
  </sheetViews>
  <sheetFormatPr defaultRowHeight="15" outlineLevelRow="0" outlineLevelCol="0" x14ac:dyDescent="55"/>
  <cols>
    <col min="1" max="1" width="28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6" x14ac:dyDescent="0.25">
      <c r="A4" s="3" t="s">
        <v>2</v>
      </c>
      <c r="B4" s="3"/>
      <c r="C4" s="3"/>
      <c r="D4" s="3"/>
      <c r="E4" s="3"/>
      <c r="F4" s="3"/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54477.92</v>
      </c>
      <c r="C6" s="6">
        <v>9806.03</v>
      </c>
      <c r="D6" s="6">
        <v>23561.66</v>
      </c>
      <c r="E6" s="6">
        <v>4241.1</v>
      </c>
      <c r="F6" s="6">
        <f>C6-E6</f>
      </c>
    </row>
    <row r="7" spans="1:6" x14ac:dyDescent="0.25">
      <c r="A7" s="7" t="s">
        <v>10</v>
      </c>
      <c r="B7" s="8">
        <v>33631.73</v>
      </c>
      <c r="C7" s="8">
        <v>6053.71</v>
      </c>
      <c r="D7" s="8">
        <v>19927.26</v>
      </c>
      <c r="E7" s="8">
        <v>3586.91</v>
      </c>
      <c r="F7" s="8">
        <f>C7-E7</f>
      </c>
    </row>
    <row r="8" spans="1:6" x14ac:dyDescent="0.25">
      <c r="A8" s="5" t="s">
        <v>11</v>
      </c>
      <c r="B8" s="6">
        <v>27995.22</v>
      </c>
      <c r="C8" s="6">
        <v>5039.14</v>
      </c>
      <c r="D8" s="6">
        <v>18917.04</v>
      </c>
      <c r="E8" s="6">
        <v>3405.07</v>
      </c>
      <c r="F8" s="6">
        <f>C8-E8</f>
      </c>
    </row>
    <row r="9" spans="1:6" x14ac:dyDescent="0.25">
      <c r="A9" s="7" t="s">
        <v>12</v>
      </c>
      <c r="B9" s="8">
        <v>57060.88</v>
      </c>
      <c r="C9" s="8">
        <v>10270.96</v>
      </c>
      <c r="D9" s="8">
        <v>30541.77</v>
      </c>
      <c r="E9" s="8">
        <v>5497.52</v>
      </c>
      <c r="F9" s="8">
        <f>C9-E9</f>
      </c>
    </row>
    <row r="10" spans="1:6" x14ac:dyDescent="0.25">
      <c r="A10" s="5" t="s">
        <v>13</v>
      </c>
      <c r="B10" s="6">
        <v>25118.94</v>
      </c>
      <c r="C10" s="6">
        <v>4521.41</v>
      </c>
      <c r="D10" s="6">
        <v>10305.12</v>
      </c>
      <c r="E10" s="6">
        <v>1854.92</v>
      </c>
      <c r="F10" s="6">
        <f>C10-E10</f>
      </c>
    </row>
    <row r="11" spans="1:6" x14ac:dyDescent="0.25">
      <c r="A11" s="7" t="s">
        <v>14</v>
      </c>
      <c r="B11" s="8">
        <v>50760.5</v>
      </c>
      <c r="C11" s="8">
        <v>9136.89</v>
      </c>
      <c r="D11" s="8">
        <v>22458.13</v>
      </c>
      <c r="E11" s="8">
        <v>4042.46</v>
      </c>
      <c r="F11" s="8">
        <f>C11-E11</f>
      </c>
    </row>
    <row r="12" spans="1:6" x14ac:dyDescent="0.25">
      <c r="A12" s="5" t="s">
        <v>15</v>
      </c>
      <c r="B12" s="6">
        <v>47176.39</v>
      </c>
      <c r="C12" s="6">
        <v>8491.75</v>
      </c>
      <c r="D12" s="6">
        <v>19463.46</v>
      </c>
      <c r="E12" s="6">
        <v>3503.42</v>
      </c>
      <c r="F12" s="6">
        <f>C12-E12</f>
      </c>
    </row>
    <row r="13" spans="1:6" x14ac:dyDescent="0.25">
      <c r="A13" s="7" t="s">
        <v>16</v>
      </c>
      <c r="B13" s="8">
        <v>32079.43</v>
      </c>
      <c r="C13" s="8">
        <v>5774.3</v>
      </c>
      <c r="D13" s="8">
        <v>20052.52</v>
      </c>
      <c r="E13" s="8">
        <v>3609.45</v>
      </c>
      <c r="F13" s="8">
        <f>C13-E13</f>
      </c>
    </row>
    <row r="14" spans="1:6" x14ac:dyDescent="0.25">
      <c r="A14" s="5" t="s">
        <v>17</v>
      </c>
      <c r="B14" s="6">
        <v>48215.57</v>
      </c>
      <c r="C14" s="6">
        <v>8678.8</v>
      </c>
      <c r="D14" s="6">
        <v>22999.21</v>
      </c>
      <c r="E14" s="6">
        <v>4139.86</v>
      </c>
      <c r="F14" s="6">
        <f>C14-E14</f>
      </c>
    </row>
    <row r="15" spans="1:6" x14ac:dyDescent="0.25">
      <c r="A15" s="7" t="s">
        <v>18</v>
      </c>
      <c r="B15" s="8">
        <v>54527.7</v>
      </c>
      <c r="C15" s="8">
        <v>9814.99</v>
      </c>
      <c r="D15" s="8">
        <v>34335.95</v>
      </c>
      <c r="E15" s="8">
        <v>6180.47</v>
      </c>
      <c r="F15" s="8">
        <f>C15-E15</f>
      </c>
    </row>
    <row r="16" spans="1:6" x14ac:dyDescent="0.25">
      <c r="A16" s="5" t="s">
        <v>19</v>
      </c>
      <c r="B16" s="6">
        <v>27757.3</v>
      </c>
      <c r="C16" s="6">
        <v>4996.31</v>
      </c>
      <c r="D16" s="6">
        <v>17658.49</v>
      </c>
      <c r="E16" s="6">
        <v>3178.53</v>
      </c>
      <c r="F16" s="6">
        <f>C16-E16</f>
      </c>
    </row>
    <row r="17" spans="1:6" x14ac:dyDescent="0.25">
      <c r="A17" s="7" t="s">
        <v>20</v>
      </c>
      <c r="B17" s="8">
        <v>35932.66</v>
      </c>
      <c r="C17" s="8">
        <v>6467.88</v>
      </c>
      <c r="D17" s="8">
        <v>14556.24</v>
      </c>
      <c r="E17" s="8">
        <v>2620.12</v>
      </c>
      <c r="F17" s="8">
        <f>C17-E17</f>
      </c>
    </row>
    <row r="18" spans="1:6" x14ac:dyDescent="0.25">
      <c r="A18" s="9" t="s">
        <v>21</v>
      </c>
      <c r="B18" s="10">
        <f>SUM(B6:B17)</f>
      </c>
      <c r="C18" s="10">
        <f>SUM(C6:C17)</f>
      </c>
      <c r="D18" s="10">
        <f>SUM(D6:D17)</f>
      </c>
      <c r="E18" s="10">
        <f>SUM(E6:E17)</f>
      </c>
      <c r="F18" s="10">
        <f>SUM(F6:F17)</f>
      </c>
    </row>
    <row r="20" spans="1:6" x14ac:dyDescent="0.25">
      <c r="A20" s="11" t="s">
        <v>22</v>
      </c>
      <c r="B20" s="11"/>
      <c r="C20" s="11"/>
      <c r="D20" s="11"/>
      <c r="E20" s="11"/>
      <c r="F20" s="11"/>
    </row>
    <row r="21" spans="1:2" x14ac:dyDescent="0.25">
      <c r="A21" s="5" t="s">
        <v>23</v>
      </c>
      <c r="B21" s="6">
        <f>SUM(B6:B17)</f>
      </c>
    </row>
    <row r="22" spans="1:2" x14ac:dyDescent="0.25">
      <c r="A22" s="5" t="s">
        <v>24</v>
      </c>
      <c r="B22" s="6">
        <f>SUM(B6:B17)*0.15</f>
      </c>
    </row>
    <row r="23" spans="1:2" x14ac:dyDescent="0.25">
      <c r="A23" s="5" t="s">
        <v>25</v>
      </c>
      <c r="B23" s="6">
        <f>B22*0.29</f>
      </c>
    </row>
    <row r="24" spans="1:2" x14ac:dyDescent="0.25">
      <c r="A24" s="5" t="s">
        <v>26</v>
      </c>
      <c r="B24" s="6">
        <f>B23*7/12</f>
      </c>
    </row>
    <row r="25" spans="1:2" x14ac:dyDescent="0.25">
      <c r="A25" s="12" t="s">
        <v>27</v>
      </c>
      <c r="B25" s="13">
        <f>B23-B24</f>
      </c>
    </row>
    <row r="27" spans="1:6" x14ac:dyDescent="0.25">
      <c r="A27" s="14" t="s">
        <v>28</v>
      </c>
      <c r="B27" s="14"/>
      <c r="C27" s="14"/>
      <c r="D27" s="14"/>
      <c r="E27" s="14"/>
      <c r="F27" s="14"/>
    </row>
  </sheetData>
  <mergeCells count="5">
    <mergeCell ref="A1:G1"/>
    <mergeCell ref="A2:G2"/>
    <mergeCell ref="A4:F4"/>
    <mergeCell ref="A20:F20"/>
    <mergeCell ref="A27:F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Tributario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