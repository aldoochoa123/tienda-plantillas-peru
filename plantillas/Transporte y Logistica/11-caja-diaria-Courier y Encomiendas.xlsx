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<sst xmlns="http://schemas.openxmlformats.org/spreadsheetml/2006/main" count="129" uniqueCount="90">
  <si>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COURIER Y ENCOMIENDAS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</si>
  <si>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</si>
  <si>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</si>
  <si>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</si>
  <si>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</si>
  <si>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</si>
  <si>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</si>
  <si>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</si>
  <si>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</si>
  <si>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</si>
  <si>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</si>
  <si>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</si>
  <si>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Envío provincial</t>
  </si>
  <si>
    <t>08:30</t>
  </si>
  <si>
    <t>B001-10001</t>
  </si>
  <si>
    <t>Yape</t>
  </si>
  <si>
    <t>09:15</t>
  </si>
  <si>
    <t>B001-10002</t>
  </si>
  <si>
    <t>Plin</t>
  </si>
  <si>
    <t>Envío local</t>
  </si>
  <si>
    <t>09:45</t>
  </si>
  <si>
    <t>B001-10003</t>
  </si>
  <si>
    <t>Envío masivo</t>
  </si>
  <si>
    <t>10:20</t>
  </si>
  <si>
    <t>B001-10004</t>
  </si>
  <si>
    <t>Tarjeta</t>
  </si>
  <si>
    <t>Envío paquete 5kg</t>
  </si>
  <si>
    <t>11:00</t>
  </si>
  <si>
    <t>B001-10005</t>
  </si>
  <si>
    <t>11:40</t>
  </si>
  <si>
    <t>B001-10006</t>
  </si>
  <si>
    <t>Envío express</t>
  </si>
  <si>
    <t>12:15</t>
  </si>
  <si>
    <t>B001-10007</t>
  </si>
  <si>
    <t>Envío documentación</t>
  </si>
  <si>
    <t>12:50</t>
  </si>
  <si>
    <t>B001-10008</t>
  </si>
  <si>
    <t>Transferencia</t>
  </si>
  <si>
    <t>Recolección a domicilio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</si>
  <si>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</si>
  <si>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</si>
  <si>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</si>
  <si>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</si>
  <si>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</si>
  <si>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</si>
  <si>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</si>
  <si>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</si>
  <si>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</si>
  <si>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</si>
  <si>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</si>
  <si>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</si>
  <si>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</si>
  <si>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</si>
  <si>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</si>
  <si>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</si>
  <si>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</si>
  <si>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</si>
  <si>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</si>
  <si>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</si>
  <si>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</si>
  <si>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</si>
  <si>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</si>
  <si>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</si>
  <si>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</si>
  <si>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</si>
  <si>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</si>
  <si>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</si>
  <si>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</si>
  <si>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</si>
  <si>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</si>
  <si>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</si>
  <si>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</si>
  <si>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</si>
  <si>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</si>
  <si>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</si>
  <si>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</si>
  <si>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</si>
  <si>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</si>
  <si>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COURIER Y ENCOMIENDAS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</si>
  <si>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</si>
  <si>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</si>
  <si>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</si>
  <si>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</si>
  <si>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</si>
  <si>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</si>
  <si>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</si>
  <si>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</si>
  <si>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</si>
  <si>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</si>
  <si>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Courier y Encomiendas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</si>
</sst>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29.93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9.18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52.56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25.5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17.26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22</v>
      </c>
      <c r="E10" s="7">
        <v>43.17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49.05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15.41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38</v>
      </c>
      <c r="E13" s="5">
        <v>15.21</v>
      </c>
      <c r="F13" s="5">
        <f>ROUND(E13/1.18*0.18,2)</f>
      </c>
      <c r="G13" s="5">
        <f>E13</f>
      </c>
    </row>
    <row r="14" spans="1:7" x14ac:dyDescent="0.25">
      <c r="A14" s="6" t="s">
        <v>39</v>
      </c>
      <c r="B14" s="6" t="s">
        <v>40</v>
      </c>
      <c r="C14" s="6" t="s">
        <v>15</v>
      </c>
      <c r="D14" s="6" t="s">
        <v>31</v>
      </c>
      <c r="E14" s="7">
        <v>34.75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19</v>
      </c>
      <c r="E15" s="5">
        <v>22.27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12</v>
      </c>
      <c r="E16" s="7">
        <v>25.27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18</v>
      </c>
      <c r="D17" s="4" t="s">
        <v>22</v>
      </c>
      <c r="E17" s="5">
        <v>17.03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19</v>
      </c>
      <c r="E18" s="7">
        <v>44.38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12</v>
      </c>
      <c r="E19" s="5">
        <v>24.05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19</v>
      </c>
      <c r="E20" s="7">
        <v>46.04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46.33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19</v>
      </c>
      <c r="E22" s="7">
        <v>4.38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34</v>
      </c>
      <c r="E23" s="5">
        <v>35.64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26</v>
      </c>
      <c r="E24" s="7">
        <v>15.32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2</v>
      </c>
      <c r="C7" s="5">
        <f>50*B7</f>
      </c>
    </row>
    <row r="8" spans="1:3" x14ac:dyDescent="0.25">
      <c r="A8" s="6" t="s">
        <v>69</v>
      </c>
      <c r="B8" s="9">
        <v>14</v>
      </c>
      <c r="C8" s="7">
        <f>20*B8</f>
      </c>
    </row>
    <row r="9" spans="1:3" x14ac:dyDescent="0.25">
      <c r="A9" s="4" t="s">
        <v>70</v>
      </c>
      <c r="B9" s="8">
        <v>4</v>
      </c>
      <c r="C9" s="5">
        <f>10*B9</f>
      </c>
    </row>
    <row r="10" spans="1:3" x14ac:dyDescent="0.25">
      <c r="A10" s="6" t="s">
        <v>71</v>
      </c>
      <c r="B10" s="9">
        <v>3</v>
      </c>
      <c r="C10" s="7">
        <f>5*B10</f>
      </c>
    </row>
    <row r="11" spans="1:3" x14ac:dyDescent="0.25">
      <c r="A11" s="4" t="s">
        <v>72</v>
      </c>
      <c r="B11" s="8">
        <v>18</v>
      </c>
      <c r="C11" s="5">
        <f>2*B11</f>
      </c>
    </row>
    <row r="12" spans="1:3" x14ac:dyDescent="0.25">
      <c r="A12" s="6" t="s">
        <v>73</v>
      </c>
      <c r="B12" s="9">
        <v>3</v>
      </c>
      <c r="C12" s="7">
        <f>1*B12</f>
      </c>
    </row>
    <row r="13" spans="1:3" x14ac:dyDescent="0.25">
      <c r="A13" s="4" t="s">
        <v>74</v>
      </c>
      <c r="B13" s="8">
        <v>7</v>
      </c>
      <c r="C13" s="5">
        <f>0.5*B13</f>
      </c>
    </row>
    <row r="14" spans="1:3" x14ac:dyDescent="0.25">
      <c r="A14" s="6" t="s">
        <v>75</v>
      </c>
      <c r="B14" s="9">
        <v>17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{34F673EC-A97C-4DE9-A104-742F714DDF6B}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F673EC-A97C-4DE9-A104-742F714DDF6B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