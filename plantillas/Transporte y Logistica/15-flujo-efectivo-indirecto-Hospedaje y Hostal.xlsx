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<sst xmlns="http://schemas.openxmlformats.org/spreadsheetml/2006/main" count="30" uniqueCount="27">
  <si>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HOSPEDAJE Y HOSTAL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</si>
  <si>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</si>
  <si>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</si>
  <si>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</si>
  <si>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</si>
  <si>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</si>
  <si>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</si>
  <si>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</si>
  <si>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</si>
  <si>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</si>
  <si>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</si>
  <si>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</si>
  <si>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</si>
  <si>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</si>
  <si>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</si>
  <si>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</si>
  <si>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</si>
  <si>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</si>
  <si>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</si>
  <si>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</si>
  <si>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</si>
  <si>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</si>
  <si>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</si>
  <si>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</si>
  <si>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</si>
  <si>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</si>
  <si>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Hospedaje y Hostal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</si>
</sst>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9990</v>
      </c>
      <c r="C6" s="6">
        <v>10989</v>
      </c>
      <c r="D6" s="6">
        <f>B6+C6</f>
      </c>
    </row>
    <row r="7" spans="1:4" x14ac:dyDescent="0.25">
      <c r="A7" s="7" t="s">
        <v>8</v>
      </c>
      <c r="B7" s="8">
        <v>2544</v>
      </c>
      <c r="C7" s="8">
        <v>2622</v>
      </c>
      <c r="D7" s="8">
        <f>B7+C7</f>
      </c>
    </row>
    <row r="8" spans="1:4" x14ac:dyDescent="0.25">
      <c r="A8" s="5" t="s">
        <v>9</v>
      </c>
      <c r="B8" s="6">
        <v>-2013</v>
      </c>
      <c r="C8" s="6">
        <v>-1216</v>
      </c>
      <c r="D8" s="6">
        <f>B8+C8</f>
      </c>
    </row>
    <row r="9" spans="1:4" x14ac:dyDescent="0.25">
      <c r="A9" s="7" t="s">
        <v>10</v>
      </c>
      <c r="B9" s="8">
        <v>556</v>
      </c>
      <c r="C9" s="8">
        <v>809</v>
      </c>
      <c r="D9" s="8">
        <f>B9+C9</f>
      </c>
    </row>
    <row r="10" spans="1:4" x14ac:dyDescent="0.25">
      <c r="A10" s="5" t="s">
        <v>11</v>
      </c>
      <c r="B10" s="6">
        <v>-4107</v>
      </c>
      <c r="C10" s="6">
        <v>-2838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-19572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-6285</v>
      </c>
      <c r="C15" s="8">
        <v>-3298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22522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-6230</v>
      </c>
      <c r="C20" s="8">
        <v>-2909</v>
      </c>
      <c r="D20" s="8">
        <f>B20+C20</f>
      </c>
    </row>
    <row r="21" spans="1:4" x14ac:dyDescent="0.25">
      <c r="A21" s="5" t="s">
        <v>20</v>
      </c>
      <c r="B21" s="6">
        <v>-1518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20587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