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Diario" state="visible" r:id="rId4"/>
    <sheet sheetId="2" name="Mayor Resumen" state="visible" r:id="rId5"/>
  </sheets>
  <calcPr calcId="171027"/>
</workbook>
</file>

<file path=xl/sharedStrings.xml><?xml version="1.0" encoding="utf-8"?>
<sst xmlns="http://schemas.openxmlformats.org/spreadsheetml/2006/main" count="93" uniqueCount="87">
  <si>
    <t>LIBRO DIARIO — TRANSPORTE DE CARGA</t>
  </si>
  <si>
    <t>Asientos Contables · Ejercicio 2026</t>
  </si>
  <si>
    <t>N° Asiento</t>
  </si>
  <si>
    <t>Fecha</t>
  </si>
  <si>
    <t>Descripción</t>
  </si>
  <si>
    <t>Cuenta</t>
  </si>
  <si>
    <t>Debe (S/)</t>
  </si>
  <si>
    <t>Haber (S/)</t>
  </si>
  <si>
    <t>Referencia</t>
  </si>
  <si>
    <t>A-001</t>
  </si>
  <si>
    <t>Aporte de capital</t>
  </si>
  <si>
    <t>Caja / Capital Social</t>
  </si>
  <si>
    <t>Ref-0001</t>
  </si>
  <si>
    <t>A-002</t>
  </si>
  <si>
    <t>Compra de mercadería al contado</t>
  </si>
  <si>
    <t>Inventario / Caja</t>
  </si>
  <si>
    <t>Ref-0002</t>
  </si>
  <si>
    <t>A-003</t>
  </si>
  <si>
    <t>Venta a crédito (Boleta)</t>
  </si>
  <si>
    <t>CxC / Ventas</t>
  </si>
  <si>
    <t>Ref-0003</t>
  </si>
  <si>
    <t>A-004</t>
  </si>
  <si>
    <t>Costo de mercadería vendida</t>
  </si>
  <si>
    <t>Costo de Ventas / Inventario</t>
  </si>
  <si>
    <t>Ref-0004</t>
  </si>
  <si>
    <t>A-005</t>
  </si>
  <si>
    <t>Pago de alquiler mensual</t>
  </si>
  <si>
    <t>Gasto Alquiler / Caja</t>
  </si>
  <si>
    <t>Ref-0005</t>
  </si>
  <si>
    <t>A-006</t>
  </si>
  <si>
    <t>Sueldos del personal</t>
  </si>
  <si>
    <t>Gasto Sueldos / Caja</t>
  </si>
  <si>
    <t>Ref-0006</t>
  </si>
  <si>
    <t>A-007</t>
  </si>
  <si>
    <t>Cobro de CxC (transferencia)</t>
  </si>
  <si>
    <t>Banco / CxC</t>
  </si>
  <si>
    <t>Ref-0007</t>
  </si>
  <si>
    <t>A-008</t>
  </si>
  <si>
    <t>Pago a proveedor (CxP)</t>
  </si>
  <si>
    <t>CxP / Banco</t>
  </si>
  <si>
    <t>Ref-0008</t>
  </si>
  <si>
    <t>A-009</t>
  </si>
  <si>
    <t>Compra de equipo (crédito)</t>
  </si>
  <si>
    <t>Equipo / CxP LP</t>
  </si>
  <si>
    <t>Ref-0009</t>
  </si>
  <si>
    <t>A-010</t>
  </si>
  <si>
    <t>Pago de IGV mensual</t>
  </si>
  <si>
    <t>IGV Pagado / Banco</t>
  </si>
  <si>
    <t>Ref-0010</t>
  </si>
  <si>
    <t>A-011</t>
  </si>
  <si>
    <t>Servicios básicos</t>
  </si>
  <si>
    <t>Gasto Servicios / Caja</t>
  </si>
  <si>
    <t>Ref-0011</t>
  </si>
  <si>
    <t>A-012</t>
  </si>
  <si>
    <t>Compra de útiles de office</t>
  </si>
  <si>
    <t>Gasto Útiles / Caja</t>
  </si>
  <si>
    <t>Ref-0012</t>
  </si>
  <si>
    <t>A-013</t>
  </si>
  <si>
    <t>Publicidad en Meta Ads</t>
  </si>
  <si>
    <t>Gasto Publicidad / Caja</t>
  </si>
  <si>
    <t>Ref-0013</t>
  </si>
  <si>
    <t>A-014</t>
  </si>
  <si>
    <t>Depreciación mensual equipo</t>
  </si>
  <si>
    <t>Gasto Depreciación / Dep. Acum.</t>
  </si>
  <si>
    <t>Ref-0014</t>
  </si>
  <si>
    <t>A-015</t>
  </si>
  <si>
    <t>Ingreso por servicios (factura)</t>
  </si>
  <si>
    <t>Banco / Ventas</t>
  </si>
  <si>
    <t>Ref-0015</t>
  </si>
  <si>
    <t/>
  </si>
  <si>
    <t>TOTALES</t>
  </si>
  <si>
    <t>✅ DIFERENCIA (Debe - Haber)</t>
  </si>
  <si>
    <t>Transporte de Carga · Libro Diario y Mayor Pack Perú</t>
  </si>
  <si>
    <t>RESUMEN DEL MAYOR</t>
  </si>
  <si>
    <t>Totales por cuenta contable</t>
  </si>
  <si>
    <t>Total Debe</t>
  </si>
  <si>
    <t>Total Haber</t>
  </si>
  <si>
    <t>Saldo</t>
  </si>
  <si>
    <t>Caja y Bancos</t>
  </si>
  <si>
    <t>Cuentas por Cobrar</t>
  </si>
  <si>
    <t>Inventarios</t>
  </si>
  <si>
    <t>Capital Social</t>
  </si>
  <si>
    <t>Ventas</t>
  </si>
  <si>
    <t>Costo de Ventas</t>
  </si>
  <si>
    <t>Gastos Varios</t>
  </si>
  <si>
    <t>CxP</t>
  </si>
  <si>
    <t>IGV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</si>
</sst>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7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46260</v>
      </c>
      <c r="C5" s="4" t="s">
        <v>10</v>
      </c>
      <c r="D5" s="4" t="s">
        <v>11</v>
      </c>
      <c r="E5" s="6">
        <v>50000</v>
      </c>
      <c r="F5" s="6">
        <v>50000</v>
      </c>
      <c r="G5" s="4" t="s">
        <v>12</v>
      </c>
    </row>
    <row r="6" spans="1:7" x14ac:dyDescent="0.25">
      <c r="A6" s="7" t="s">
        <v>13</v>
      </c>
      <c r="B6" s="8">
        <v>46249</v>
      </c>
      <c r="C6" s="7" t="s">
        <v>14</v>
      </c>
      <c r="D6" s="7" t="s">
        <v>15</v>
      </c>
      <c r="E6" s="9">
        <v>15000</v>
      </c>
      <c r="F6" s="9">
        <v>15000</v>
      </c>
      <c r="G6" s="7" t="s">
        <v>16</v>
      </c>
    </row>
    <row r="7" spans="1:7" x14ac:dyDescent="0.25">
      <c r="A7" s="4" t="s">
        <v>17</v>
      </c>
      <c r="B7" s="5">
        <v>46258</v>
      </c>
      <c r="C7" s="4" t="s">
        <v>18</v>
      </c>
      <c r="D7" s="4" t="s">
        <v>19</v>
      </c>
      <c r="E7" s="6">
        <v>8500</v>
      </c>
      <c r="F7" s="6">
        <v>8500</v>
      </c>
      <c r="G7" s="4" t="s">
        <v>20</v>
      </c>
    </row>
    <row r="8" spans="1:7" x14ac:dyDescent="0.25">
      <c r="A8" s="7" t="s">
        <v>21</v>
      </c>
      <c r="B8" s="8">
        <v>46255</v>
      </c>
      <c r="C8" s="7" t="s">
        <v>22</v>
      </c>
      <c r="D8" s="7" t="s">
        <v>23</v>
      </c>
      <c r="E8" s="9">
        <v>4200</v>
      </c>
      <c r="F8" s="9">
        <v>4200</v>
      </c>
      <c r="G8" s="7" t="s">
        <v>24</v>
      </c>
    </row>
    <row r="9" spans="1:7" x14ac:dyDescent="0.25">
      <c r="A9" s="4" t="s">
        <v>25</v>
      </c>
      <c r="B9" s="5">
        <v>46253</v>
      </c>
      <c r="C9" s="4" t="s">
        <v>26</v>
      </c>
      <c r="D9" s="4" t="s">
        <v>27</v>
      </c>
      <c r="E9" s="6">
        <v>2000</v>
      </c>
      <c r="F9" s="6">
        <v>2000</v>
      </c>
      <c r="G9" s="4" t="s">
        <v>28</v>
      </c>
    </row>
    <row r="10" spans="1:7" x14ac:dyDescent="0.25">
      <c r="A10" s="7" t="s">
        <v>29</v>
      </c>
      <c r="B10" s="8">
        <v>46238</v>
      </c>
      <c r="C10" s="7" t="s">
        <v>30</v>
      </c>
      <c r="D10" s="7" t="s">
        <v>31</v>
      </c>
      <c r="E10" s="9">
        <v>6500</v>
      </c>
      <c r="F10" s="9">
        <v>6500</v>
      </c>
      <c r="G10" s="7" t="s">
        <v>32</v>
      </c>
    </row>
    <row r="11" spans="1:7" x14ac:dyDescent="0.25">
      <c r="A11" s="4" t="s">
        <v>33</v>
      </c>
      <c r="B11" s="5">
        <v>46252</v>
      </c>
      <c r="C11" s="4" t="s">
        <v>34</v>
      </c>
      <c r="D11" s="4" t="s">
        <v>35</v>
      </c>
      <c r="E11" s="6">
        <v>5000</v>
      </c>
      <c r="F11" s="6">
        <v>5000</v>
      </c>
      <c r="G11" s="4" t="s">
        <v>36</v>
      </c>
    </row>
    <row r="12" spans="1:7" x14ac:dyDescent="0.25">
      <c r="A12" s="7" t="s">
        <v>37</v>
      </c>
      <c r="B12" s="8">
        <v>46247</v>
      </c>
      <c r="C12" s="7" t="s">
        <v>38</v>
      </c>
      <c r="D12" s="7" t="s">
        <v>39</v>
      </c>
      <c r="E12" s="9">
        <v>8000</v>
      </c>
      <c r="F12" s="9">
        <v>8000</v>
      </c>
      <c r="G12" s="7" t="s">
        <v>40</v>
      </c>
    </row>
    <row r="13" spans="1:7" x14ac:dyDescent="0.25">
      <c r="A13" s="4" t="s">
        <v>41</v>
      </c>
      <c r="B13" s="5">
        <v>46237</v>
      </c>
      <c r="C13" s="4" t="s">
        <v>42</v>
      </c>
      <c r="D13" s="4" t="s">
        <v>43</v>
      </c>
      <c r="E13" s="6">
        <v>12000</v>
      </c>
      <c r="F13" s="6">
        <v>12000</v>
      </c>
      <c r="G13" s="4" t="s">
        <v>44</v>
      </c>
    </row>
    <row r="14" spans="1:7" x14ac:dyDescent="0.25">
      <c r="A14" s="7" t="s">
        <v>45</v>
      </c>
      <c r="B14" s="8">
        <v>46261</v>
      </c>
      <c r="C14" s="7" t="s">
        <v>46</v>
      </c>
      <c r="D14" s="7" t="s">
        <v>47</v>
      </c>
      <c r="E14" s="9">
        <v>3200</v>
      </c>
      <c r="F14" s="9">
        <v>3200</v>
      </c>
      <c r="G14" s="7" t="s">
        <v>48</v>
      </c>
    </row>
    <row r="15" spans="1:7" x14ac:dyDescent="0.25">
      <c r="A15" s="4" t="s">
        <v>49</v>
      </c>
      <c r="B15" s="5">
        <v>46253</v>
      </c>
      <c r="C15" s="4" t="s">
        <v>50</v>
      </c>
      <c r="D15" s="4" t="s">
        <v>51</v>
      </c>
      <c r="E15" s="6">
        <v>450</v>
      </c>
      <c r="F15" s="6">
        <v>450</v>
      </c>
      <c r="G15" s="4" t="s">
        <v>52</v>
      </c>
    </row>
    <row r="16" spans="1:7" x14ac:dyDescent="0.25">
      <c r="A16" s="7" t="s">
        <v>53</v>
      </c>
      <c r="B16" s="8">
        <v>46236</v>
      </c>
      <c r="C16" s="7" t="s">
        <v>54</v>
      </c>
      <c r="D16" s="7" t="s">
        <v>55</v>
      </c>
      <c r="E16" s="9">
        <v>180</v>
      </c>
      <c r="F16" s="9">
        <v>180</v>
      </c>
      <c r="G16" s="7" t="s">
        <v>56</v>
      </c>
    </row>
    <row r="17" spans="1:7" x14ac:dyDescent="0.25">
      <c r="A17" s="4" t="s">
        <v>57</v>
      </c>
      <c r="B17" s="5">
        <v>46246</v>
      </c>
      <c r="C17" s="4" t="s">
        <v>58</v>
      </c>
      <c r="D17" s="4" t="s">
        <v>59</v>
      </c>
      <c r="E17" s="6">
        <v>800</v>
      </c>
      <c r="F17" s="6">
        <v>800</v>
      </c>
      <c r="G17" s="4" t="s">
        <v>60</v>
      </c>
    </row>
    <row r="18" spans="1:7" x14ac:dyDescent="0.25">
      <c r="A18" s="7" t="s">
        <v>61</v>
      </c>
      <c r="B18" s="8">
        <v>46242</v>
      </c>
      <c r="C18" s="7" t="s">
        <v>62</v>
      </c>
      <c r="D18" s="7" t="s">
        <v>63</v>
      </c>
      <c r="E18" s="9">
        <v>500</v>
      </c>
      <c r="F18" s="9">
        <v>500</v>
      </c>
      <c r="G18" s="7" t="s">
        <v>64</v>
      </c>
    </row>
    <row r="19" spans="1:7" x14ac:dyDescent="0.25">
      <c r="A19" s="4" t="s">
        <v>65</v>
      </c>
      <c r="B19" s="5">
        <v>46246</v>
      </c>
      <c r="C19" s="4" t="s">
        <v>66</v>
      </c>
      <c r="D19" s="4" t="s">
        <v>67</v>
      </c>
      <c r="E19" s="6">
        <v>12000</v>
      </c>
      <c r="F19" s="6">
        <v>12000</v>
      </c>
      <c r="G19" s="4" t="s">
        <v>68</v>
      </c>
    </row>
    <row r="20" spans="1:6" x14ac:dyDescent="0.25">
      <c r="A20" s="10" t="s">
        <v>69</v>
      </c>
      <c r="B20" s="10" t="s">
        <v>69</v>
      </c>
      <c r="C20" s="10" t="s">
        <v>69</v>
      </c>
      <c r="D20" s="10" t="s">
        <v>70</v>
      </c>
      <c r="E20" s="11">
        <f>SUM(E5:E19)</f>
      </c>
      <c r="F20" s="11">
        <f>SUM(F5:F19)</f>
      </c>
    </row>
    <row r="21" spans="1:5" x14ac:dyDescent="0.25">
      <c r="A21" s="12" t="s">
        <v>69</v>
      </c>
      <c r="B21" s="12" t="s">
        <v>69</v>
      </c>
      <c r="C21" s="12" t="s">
        <v>69</v>
      </c>
      <c r="D21" s="12" t="s">
        <v>71</v>
      </c>
      <c r="E21" s="13">
        <f>E20-F20</f>
      </c>
    </row>
    <row r="24" spans="1:8" x14ac:dyDescent="0.25">
      <c r="A24" s="14" t="s">
        <v>72</v>
      </c>
      <c r="B24" s="14"/>
      <c r="C24" s="14"/>
      <c r="D24" s="14"/>
      <c r="E24" s="14"/>
      <c r="F24" s="14"/>
      <c r="G24" s="14"/>
      <c r="H24" s="14"/>
    </row>
  </sheetData>
  <mergeCells count="3">
    <mergeCell ref="A1:H1"/>
    <mergeCell ref="A2:H2"/>
    <mergeCell ref="A24:H24"/>
  </mergeCells>
  <conditionalFormatting sqref="B21:B21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showGridLines="0"/>
  </sheetViews>
  <sheetFormatPr defaultRowHeight="15" outlineLevelRow="0" outlineLevelCol="0" x14ac:dyDescent="55"/>
  <sheetData>
    <row r="1" ht="32" customHeight="1" spans="1:4" x14ac:dyDescent="0.25">
      <c r="A1" s="1" t="s">
        <v>73</v>
      </c>
      <c r="B1" s="1"/>
      <c r="C1" s="1"/>
      <c r="D1" s="1"/>
    </row>
    <row r="2" ht="18" customHeight="1" spans="1:4" x14ac:dyDescent="0.25">
      <c r="A2" s="2" t="s">
        <v>74</v>
      </c>
      <c r="B2" s="2"/>
      <c r="C2" s="2"/>
      <c r="D2" s="2"/>
    </row>
    <row r="4" ht="22" customHeight="1" spans="1:4" x14ac:dyDescent="0.25">
      <c r="A4" s="3" t="s">
        <v>5</v>
      </c>
      <c r="B4" s="3" t="s">
        <v>75</v>
      </c>
      <c r="C4" s="3" t="s">
        <v>76</v>
      </c>
      <c r="D4" s="3" t="s">
        <v>77</v>
      </c>
    </row>
    <row r="5" spans="1:4" x14ac:dyDescent="0.25">
      <c r="A5" s="4" t="s">
        <v>78</v>
      </c>
      <c r="B5" s="6">
        <v>6429.1</v>
      </c>
      <c r="C5" s="6">
        <v>3587.6</v>
      </c>
      <c r="D5" s="6">
        <f>B5-C5</f>
      </c>
    </row>
    <row r="6" spans="1:4" x14ac:dyDescent="0.25">
      <c r="A6" s="7" t="s">
        <v>79</v>
      </c>
      <c r="B6" s="9">
        <v>2442.8</v>
      </c>
      <c r="C6" s="9">
        <v>769.05</v>
      </c>
      <c r="D6" s="9">
        <f>B6-C6</f>
      </c>
    </row>
    <row r="7" spans="1:4" x14ac:dyDescent="0.25">
      <c r="A7" s="4" t="s">
        <v>80</v>
      </c>
      <c r="B7" s="6">
        <v>13304.33</v>
      </c>
      <c r="C7" s="6">
        <v>3027.43</v>
      </c>
      <c r="D7" s="6">
        <f>B7-C7</f>
      </c>
    </row>
    <row r="8" spans="1:4" x14ac:dyDescent="0.25">
      <c r="A8" s="7" t="s">
        <v>81</v>
      </c>
      <c r="B8" s="9">
        <v>7526.97</v>
      </c>
      <c r="C8" s="9">
        <v>3759.94</v>
      </c>
      <c r="D8" s="9">
        <f>B8-C8</f>
      </c>
    </row>
    <row r="9" spans="1:4" x14ac:dyDescent="0.25">
      <c r="A9" s="4" t="s">
        <v>82</v>
      </c>
      <c r="B9" s="6">
        <v>11671.11</v>
      </c>
      <c r="C9" s="6">
        <v>5493.22</v>
      </c>
      <c r="D9" s="6">
        <f>B9-C9</f>
      </c>
    </row>
    <row r="10" spans="1:4" x14ac:dyDescent="0.25">
      <c r="A10" s="7" t="s">
        <v>83</v>
      </c>
      <c r="B10" s="9">
        <v>8576.94</v>
      </c>
      <c r="C10" s="9">
        <v>2139.51</v>
      </c>
      <c r="D10" s="9">
        <f>B10-C10</f>
      </c>
    </row>
    <row r="11" spans="1:4" x14ac:dyDescent="0.25">
      <c r="A11" s="4" t="s">
        <v>84</v>
      </c>
      <c r="B11" s="6">
        <v>1647.16</v>
      </c>
      <c r="C11" s="6">
        <v>9366.99</v>
      </c>
      <c r="D11" s="6">
        <f>B11-C11</f>
      </c>
    </row>
    <row r="12" spans="1:4" x14ac:dyDescent="0.25">
      <c r="A12" s="7" t="s">
        <v>85</v>
      </c>
      <c r="B12" s="9">
        <v>9494.36</v>
      </c>
      <c r="C12" s="9">
        <v>6908.79</v>
      </c>
      <c r="D12" s="9">
        <f>B12-C12</f>
      </c>
    </row>
    <row r="13" spans="1:4" x14ac:dyDescent="0.25">
      <c r="A13" s="4" t="s">
        <v>86</v>
      </c>
      <c r="B13" s="6">
        <v>14609.96</v>
      </c>
      <c r="C13" s="6">
        <v>12117.54</v>
      </c>
      <c r="D13" s="6">
        <f>B13-C13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Libro Diario</vt:lpstr>
      <vt:lpstr>Mayor 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