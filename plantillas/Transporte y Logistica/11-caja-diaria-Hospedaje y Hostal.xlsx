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<sst xmlns="http://schemas.openxmlformats.org/spreadsheetml/2006/main" count="129" uniqueCount="90">
  <si>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HOSPEDAJE Y HOSTAL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</si>
  <si>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</si>
  <si>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</si>
  <si>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</si>
  <si>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</si>
  <si>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</si>
  <si>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</si>
  <si>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</si>
  <si>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</si>
  <si>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</si>
  <si>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</si>
  <si>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</si>
  <si>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Estancia mensual</t>
  </si>
  <si>
    <t>08:30</t>
  </si>
  <si>
    <t>B001-10001</t>
  </si>
  <si>
    <t>Yape</t>
  </si>
  <si>
    <t>Habitación triple</t>
  </si>
  <si>
    <t>09:15</t>
  </si>
  <si>
    <t>B001-10002</t>
  </si>
  <si>
    <t>Plin</t>
  </si>
  <si>
    <t>09:45</t>
  </si>
  <si>
    <t>B001-10003</t>
  </si>
  <si>
    <t>10:20</t>
  </si>
  <si>
    <t>B001-10004</t>
  </si>
  <si>
    <t>Tarjeta</t>
  </si>
  <si>
    <t>11:00</t>
  </si>
  <si>
    <t>B001-10005</t>
  </si>
  <si>
    <t>Hospedaje por horas</t>
  </si>
  <si>
    <t>11:40</t>
  </si>
  <si>
    <t>B001-10006</t>
  </si>
  <si>
    <t>Habitación simple</t>
  </si>
  <si>
    <t>12:15</t>
  </si>
  <si>
    <t>B001-10007</t>
  </si>
  <si>
    <t>Habitación matrimonial</t>
  </si>
  <si>
    <t>12:50</t>
  </si>
  <si>
    <t>B001-10008</t>
  </si>
  <si>
    <t>Transferencia</t>
  </si>
  <si>
    <t>Desayuno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</si>
  <si>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</si>
  <si>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</si>
  <si>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</si>
  <si>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</si>
  <si>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</si>
  <si>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</si>
  <si>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</si>
  <si>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</si>
  <si>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</si>
  <si>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</si>
  <si>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</si>
  <si>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</si>
  <si>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</si>
  <si>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</si>
  <si>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</si>
  <si>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</si>
  <si>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</si>
  <si>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</si>
  <si>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Estancia semanal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</si>
  <si>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</si>
  <si>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</si>
  <si>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</si>
  <si>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</si>
  <si>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</si>
  <si>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</si>
  <si>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</si>
  <si>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</si>
  <si>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</si>
  <si>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</si>
  <si>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</si>
  <si>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</si>
  <si>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</si>
  <si>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</si>
  <si>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</si>
  <si>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</si>
  <si>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</si>
  <si>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</si>
  <si>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</si>
  <si>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</si>
  <si>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</si>
  <si>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HOSPEDAJE Y HOSTAL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</si>
  <si>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</si>
  <si>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</si>
  <si>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</si>
  <si>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</si>
  <si>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</si>
  <si>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</si>
  <si>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</si>
  <si>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</si>
  <si>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</si>
  <si>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</si>
  <si>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Hospedaje y Hostal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</si>
</sst>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19.1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14.14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16</v>
      </c>
      <c r="E7" s="5">
        <v>48.47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12</v>
      </c>
      <c r="E8" s="7">
        <v>57.75</v>
      </c>
      <c r="F8" s="7">
        <f>ROUND(E8/1.18*0.18,2)</f>
      </c>
      <c r="G8" s="7">
        <f>E8</f>
      </c>
    </row>
    <row r="9" spans="1:7" x14ac:dyDescent="0.25">
      <c r="A9" s="4" t="s">
        <v>22</v>
      </c>
      <c r="B9" s="4" t="s">
        <v>23</v>
      </c>
      <c r="C9" s="4" t="s">
        <v>24</v>
      </c>
      <c r="D9" s="4" t="s">
        <v>16</v>
      </c>
      <c r="E9" s="5">
        <v>6.05</v>
      </c>
      <c r="F9" s="5">
        <f>ROUND(E9/1.18*0.18,2)</f>
      </c>
      <c r="G9" s="5">
        <f>E9</f>
      </c>
    </row>
    <row r="10" spans="1:7" x14ac:dyDescent="0.25">
      <c r="A10" s="6" t="s">
        <v>25</v>
      </c>
      <c r="B10" s="6" t="s">
        <v>26</v>
      </c>
      <c r="C10" s="6" t="s">
        <v>15</v>
      </c>
      <c r="D10" s="6" t="s">
        <v>27</v>
      </c>
      <c r="E10" s="7">
        <v>56.44</v>
      </c>
      <c r="F10" s="7">
        <f>ROUND(E10/1.18*0.18,2)</f>
      </c>
      <c r="G10" s="7">
        <f>E10</f>
      </c>
    </row>
    <row r="11" spans="1:7" x14ac:dyDescent="0.25">
      <c r="A11" s="4" t="s">
        <v>28</v>
      </c>
      <c r="B11" s="4" t="s">
        <v>29</v>
      </c>
      <c r="C11" s="4" t="s">
        <v>11</v>
      </c>
      <c r="D11" s="4" t="s">
        <v>30</v>
      </c>
      <c r="E11" s="5">
        <v>23.33</v>
      </c>
      <c r="F11" s="5">
        <f>ROUND(E11/1.18*0.18,2)</f>
      </c>
      <c r="G11" s="5">
        <f>E11</f>
      </c>
    </row>
    <row r="12" spans="1:7" x14ac:dyDescent="0.25">
      <c r="A12" s="6" t="s">
        <v>31</v>
      </c>
      <c r="B12" s="6" t="s">
        <v>32</v>
      </c>
      <c r="C12" s="6" t="s">
        <v>11</v>
      </c>
      <c r="D12" s="6" t="s">
        <v>33</v>
      </c>
      <c r="E12" s="7">
        <v>19.1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37</v>
      </c>
      <c r="E13" s="5">
        <v>17.47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16</v>
      </c>
      <c r="E14" s="7">
        <v>22.45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16</v>
      </c>
      <c r="E15" s="5">
        <v>43.55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33</v>
      </c>
      <c r="E16" s="7">
        <v>24.57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30</v>
      </c>
      <c r="E17" s="5">
        <v>20.76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16</v>
      </c>
      <c r="E18" s="7">
        <v>49.65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24</v>
      </c>
      <c r="D19" s="4" t="s">
        <v>37</v>
      </c>
      <c r="E19" s="5">
        <v>37.15</v>
      </c>
      <c r="F19" s="5">
        <f>ROUND(E19/1.18*0.18,2)</f>
      </c>
      <c r="G19" s="5">
        <f>E19</f>
      </c>
    </row>
    <row r="20" spans="1:7" x14ac:dyDescent="0.25">
      <c r="A20" s="6" t="s">
        <v>50</v>
      </c>
      <c r="B20" s="6" t="s">
        <v>51</v>
      </c>
      <c r="C20" s="6" t="s">
        <v>15</v>
      </c>
      <c r="D20" s="6" t="s">
        <v>33</v>
      </c>
      <c r="E20" s="7">
        <v>39.69</v>
      </c>
      <c r="F20" s="7">
        <f>ROUND(E20/1.18*0.18,2)</f>
      </c>
      <c r="G20" s="7">
        <f>E20</f>
      </c>
    </row>
    <row r="21" spans="1:7" x14ac:dyDescent="0.25">
      <c r="A21" s="4" t="s">
        <v>52</v>
      </c>
      <c r="B21" s="4" t="s">
        <v>53</v>
      </c>
      <c r="C21" s="4" t="s">
        <v>11</v>
      </c>
      <c r="D21" s="4" t="s">
        <v>16</v>
      </c>
      <c r="E21" s="5">
        <v>44.14</v>
      </c>
      <c r="F21" s="5">
        <f>ROUND(E21/1.18*0.18,2)</f>
      </c>
      <c r="G21" s="5">
        <f>E21</f>
      </c>
    </row>
    <row r="22" spans="1:7" x14ac:dyDescent="0.25">
      <c r="A22" s="6" t="s">
        <v>54</v>
      </c>
      <c r="B22" s="6" t="s">
        <v>55</v>
      </c>
      <c r="C22" s="6" t="s">
        <v>11</v>
      </c>
      <c r="D22" s="6" t="s">
        <v>56</v>
      </c>
      <c r="E22" s="7">
        <v>19.06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36</v>
      </c>
      <c r="D23" s="4" t="s">
        <v>56</v>
      </c>
      <c r="E23" s="5">
        <v>30.99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30</v>
      </c>
      <c r="E24" s="7">
        <v>46.62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4</v>
      </c>
      <c r="C5" s="5">
        <f>200*B5</f>
      </c>
    </row>
    <row r="6" spans="1:3" x14ac:dyDescent="0.25">
      <c r="A6" s="6" t="s">
        <v>67</v>
      </c>
      <c r="B6" s="9">
        <v>1</v>
      </c>
      <c r="C6" s="7">
        <f>100*B6</f>
      </c>
    </row>
    <row r="7" spans="1:3" x14ac:dyDescent="0.25">
      <c r="A7" s="4" t="s">
        <v>68</v>
      </c>
      <c r="B7" s="8">
        <v>3</v>
      </c>
      <c r="C7" s="5">
        <f>50*B7</f>
      </c>
    </row>
    <row r="8" spans="1:3" x14ac:dyDescent="0.25">
      <c r="A8" s="6" t="s">
        <v>69</v>
      </c>
      <c r="B8" s="9">
        <v>5</v>
      </c>
      <c r="C8" s="7">
        <f>20*B8</f>
      </c>
    </row>
    <row r="9" spans="1:3" x14ac:dyDescent="0.25">
      <c r="A9" s="4" t="s">
        <v>70</v>
      </c>
      <c r="B9" s="8">
        <v>0</v>
      </c>
      <c r="C9" s="5">
        <f>10*B9</f>
      </c>
    </row>
    <row r="10" spans="1:3" x14ac:dyDescent="0.25">
      <c r="A10" s="6" t="s">
        <v>71</v>
      </c>
      <c r="B10" s="9">
        <v>10</v>
      </c>
      <c r="C10" s="7">
        <f>5*B10</f>
      </c>
    </row>
    <row r="11" spans="1:3" x14ac:dyDescent="0.25">
      <c r="A11" s="4" t="s">
        <v>72</v>
      </c>
      <c r="B11" s="8">
        <v>6</v>
      </c>
      <c r="C11" s="5">
        <f>2*B11</f>
      </c>
    </row>
    <row r="12" spans="1:3" x14ac:dyDescent="0.25">
      <c r="A12" s="6" t="s">
        <v>73</v>
      </c>
      <c r="B12" s="9">
        <v>15</v>
      </c>
      <c r="C12" s="7">
        <f>1*B12</f>
      </c>
    </row>
    <row r="13" spans="1:3" x14ac:dyDescent="0.25">
      <c r="A13" s="4" t="s">
        <v>74</v>
      </c>
      <c r="B13" s="8">
        <v>15</v>
      </c>
      <c r="C13" s="5">
        <f>0.5*B13</f>
      </c>
    </row>
    <row r="14" spans="1:3" x14ac:dyDescent="0.25">
      <c r="A14" s="6" t="s">
        <v>75</v>
      </c>
      <c r="B14" s="9">
        <v>8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24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{A8DF0DA2-A983-4291-872B-BA88551A9E2A}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DF0DA2-A983-4291-872B-BA88551A9E2A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