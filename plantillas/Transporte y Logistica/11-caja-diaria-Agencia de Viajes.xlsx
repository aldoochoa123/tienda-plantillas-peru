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<sst xmlns="http://schemas.openxmlformats.org/spreadsheetml/2006/main" count="129" uniqueCount="91">
  <si>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AGENCIA DE VIAJES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</si>
  <si>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</si>
  <si>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</si>
  <si>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</si>
  <si>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</si>
  <si>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</si>
  <si>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</si>
  <si>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</si>
  <si>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</si>
  <si>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</si>
  <si>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</si>
  <si>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</si>
  <si>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Tour Ica</t>
  </si>
  <si>
    <t>08:30</t>
  </si>
  <si>
    <t>B001-10001</t>
  </si>
  <si>
    <t>Yape</t>
  </si>
  <si>
    <t>Pasaje Lima-Arequipa</t>
  </si>
  <si>
    <t>09:15</t>
  </si>
  <si>
    <t>B001-10002</t>
  </si>
  <si>
    <t>Plin</t>
  </si>
  <si>
    <t>Tour Huaraz</t>
  </si>
  <si>
    <t>09:45</t>
  </si>
  <si>
    <t>B001-10003</t>
  </si>
  <si>
    <t>10:20</t>
  </si>
  <si>
    <t>B001-10004</t>
  </si>
  <si>
    <t>Tarjeta</t>
  </si>
  <si>
    <t>11:00</t>
  </si>
  <si>
    <t>B001-10005</t>
  </si>
  <si>
    <t>Tour Valle Sagrado</t>
  </si>
  <si>
    <t>11:40</t>
  </si>
  <si>
    <t>B001-10006</t>
  </si>
  <si>
    <t>Tour Arequipa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</si>
  <si>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</si>
  <si>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</si>
  <si>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</si>
  <si>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</si>
  <si>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</si>
  <si>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</si>
  <si>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</si>
  <si>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</si>
  <si>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</si>
  <si>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Tour Paracas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</si>
  <si>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</si>
  <si>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</si>
  <si>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</si>
  <si>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</si>
  <si>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</si>
  <si>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</si>
  <si>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</si>
  <si>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</si>
  <si>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</si>
  <si>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</si>
  <si>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Pasaje Lima-Cusco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</si>
  <si>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</si>
  <si>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</si>
  <si>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</si>
  <si>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</si>
  <si>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</si>
  <si>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</si>
  <si>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</si>
  <si>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</si>
  <si>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Paquete Machu Picchu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</si>
  <si>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</si>
  <si>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</si>
  <si>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</si>
  <si>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</si>
  <si>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</si>
  <si>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</si>
  <si>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</si>
  <si>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</si>
  <si>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</si>
  <si>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</si>
  <si>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</si>
  <si>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</si>
  <si>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</si>
  <si>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</si>
  <si>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</si>
  <si>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</si>
  <si>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</si>
  <si>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AGENCIA DE VIAJES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</si>
  <si>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</si>
  <si>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</si>
  <si>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</si>
  <si>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</si>
  <si>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</si>
  <si>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</si>
  <si>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</si>
  <si>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</si>
  <si>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</si>
  <si>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</si>
  <si>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Agencia de Viajes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</si>
</sst>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14.08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7.64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55.85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12</v>
      </c>
      <c r="E8" s="7">
        <v>35.87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16</v>
      </c>
      <c r="E9" s="5">
        <v>19.57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28</v>
      </c>
      <c r="E10" s="7">
        <v>8.19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15.58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12</v>
      </c>
      <c r="E12" s="7">
        <v>33.62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16</v>
      </c>
      <c r="E13" s="5">
        <v>28.38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28</v>
      </c>
      <c r="E14" s="7">
        <v>4.22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41</v>
      </c>
      <c r="E15" s="5">
        <v>26.57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16</v>
      </c>
      <c r="E16" s="7">
        <v>11.83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20</v>
      </c>
      <c r="E17" s="5">
        <v>57.55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31</v>
      </c>
      <c r="E18" s="7">
        <v>44.15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25</v>
      </c>
      <c r="D19" s="4" t="s">
        <v>20</v>
      </c>
      <c r="E19" s="5">
        <v>7.74</v>
      </c>
      <c r="F19" s="5">
        <f>ROUND(E19/1.18*0.18,2)</f>
      </c>
      <c r="G19" s="5">
        <f>E19</f>
      </c>
    </row>
    <row r="20" spans="1:7" x14ac:dyDescent="0.25">
      <c r="A20" s="6" t="s">
        <v>50</v>
      </c>
      <c r="B20" s="6" t="s">
        <v>51</v>
      </c>
      <c r="C20" s="6" t="s">
        <v>15</v>
      </c>
      <c r="D20" s="6" t="s">
        <v>52</v>
      </c>
      <c r="E20" s="7">
        <v>48.9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16</v>
      </c>
      <c r="E21" s="5">
        <v>18.61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20</v>
      </c>
      <c r="E22" s="7">
        <v>31.27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36</v>
      </c>
      <c r="D23" s="4" t="s">
        <v>28</v>
      </c>
      <c r="E23" s="5">
        <v>36.31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61</v>
      </c>
      <c r="E24" s="7">
        <v>38.85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1</v>
      </c>
      <c r="C5" s="5">
        <f>200*B5</f>
      </c>
    </row>
    <row r="6" spans="1:3" x14ac:dyDescent="0.25">
      <c r="A6" s="6" t="s">
        <v>68</v>
      </c>
      <c r="B6" s="9">
        <v>4</v>
      </c>
      <c r="C6" s="7">
        <f>100*B6</f>
      </c>
    </row>
    <row r="7" spans="1:3" x14ac:dyDescent="0.25">
      <c r="A7" s="4" t="s">
        <v>69</v>
      </c>
      <c r="B7" s="8">
        <v>2</v>
      </c>
      <c r="C7" s="5">
        <f>50*B7</f>
      </c>
    </row>
    <row r="8" spans="1:3" x14ac:dyDescent="0.25">
      <c r="A8" s="6" t="s">
        <v>70</v>
      </c>
      <c r="B8" s="9">
        <v>0</v>
      </c>
      <c r="C8" s="7">
        <f>20*B8</f>
      </c>
    </row>
    <row r="9" spans="1:3" x14ac:dyDescent="0.25">
      <c r="A9" s="4" t="s">
        <v>71</v>
      </c>
      <c r="B9" s="8">
        <v>1</v>
      </c>
      <c r="C9" s="5">
        <f>10*B9</f>
      </c>
    </row>
    <row r="10" spans="1:3" x14ac:dyDescent="0.25">
      <c r="A10" s="6" t="s">
        <v>72</v>
      </c>
      <c r="B10" s="9">
        <v>9</v>
      </c>
      <c r="C10" s="7">
        <f>5*B10</f>
      </c>
    </row>
    <row r="11" spans="1:3" x14ac:dyDescent="0.25">
      <c r="A11" s="4" t="s">
        <v>73</v>
      </c>
      <c r="B11" s="8">
        <v>13</v>
      </c>
      <c r="C11" s="5">
        <f>2*B11</f>
      </c>
    </row>
    <row r="12" spans="1:3" x14ac:dyDescent="0.25">
      <c r="A12" s="6" t="s">
        <v>74</v>
      </c>
      <c r="B12" s="9">
        <v>15</v>
      </c>
      <c r="C12" s="7">
        <f>1*B12</f>
      </c>
    </row>
    <row r="13" spans="1:3" x14ac:dyDescent="0.25">
      <c r="A13" s="4" t="s">
        <v>75</v>
      </c>
      <c r="B13" s="8">
        <v>4</v>
      </c>
      <c r="C13" s="5">
        <f>0.5*B13</f>
      </c>
    </row>
    <row r="14" spans="1:3" x14ac:dyDescent="0.25">
      <c r="A14" s="6" t="s">
        <v>76</v>
      </c>
      <c r="B14" s="9">
        <v>17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{D33F238D-74E3-41C0-B8E3-AC99C5B6D02E}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3F238D-74E3-41C0-B8E3-AC99C5B6D02E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