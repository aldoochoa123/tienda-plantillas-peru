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OI" state="visible" r:id="rId4"/>
  </sheets>
  <calcPr calcId="171027"/>
</workbook>
</file>

<file path=xl/sharedStrings.xml><?xml version="1.0" encoding="utf-8"?>
<sst xmlns="http://schemas.openxmlformats.org/spreadsheetml/2006/main" count="18" uniqueCount="18">
  <si>
    <t>CALCULADORA DE ROI — COURIER Y ENCOMIENDAS</t>
  </si>
  <si>
    <t>Return on Investment · ¿Vale la pena esta inversión?</t>
  </si>
  <si>
    <t>📝 DATOS DE LA INVERSIÓN</t>
  </si>
  <si>
    <t>Costo de la inversión (S/)</t>
  </si>
  <si>
    <t>Ingresos esperados mensuales (S/)</t>
  </si>
  <si>
    <t>Costos operativos mensuales (S/)</t>
  </si>
  <si>
    <t>Horizonte de evaluación (meses)</t>
  </si>
  <si>
    <t>Tasa de descuento mensual (%)</t>
  </si>
  <si>
    <t>📊 RESULTADOS</t>
  </si>
  <si>
    <t>Beneficio neto mensual</t>
  </si>
  <si>
    <t>Payback simple (meses)</t>
  </si>
  <si>
    <t>Beneficio total en el horizonte</t>
  </si>
  <si>
    <t>ROI simple (%)</t>
  </si>
  <si>
    <t>Beneficio neto total (ingresos - costo inv.)</t>
  </si>
  <si>
    <t>📈 VALOR ACTUAL NETO (VAN)</t>
  </si>
  <si>
    <t>VAN (Valor Actual Neto)</t>
  </si>
  <si>
    <t>Decisión</t>
  </si>
  <si>
    <t>Courier y Encomiendas · Calculadora ROI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</si>
</sst>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%"/>
    <numFmt numFmtId="165" formatCode="&quot;S/&quot; #,##0.00"/>
    <numFmt numFmtId="166" formatCode="0 &quot;meses&quot;"/>
    <numFmt numFmtId="167" formatCode="0.0&quot;%&quot;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166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7" fontId="5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165" fontId="5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Views>
    <sheetView workbookViewId="0" showGridLines="0"/>
  </sheetViews>
  <sheetFormatPr defaultRowHeight="15" outlineLevelRow="0" outlineLevelCol="0" x14ac:dyDescent="55"/>
  <cols>
    <col min="1" max="1" width="34" customWidth="1"/>
    <col min="2" max="5" width="18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3"/>
      <c r="E4" s="3"/>
      <c r="F4" s="3"/>
    </row>
    <row r="5" spans="1:2" x14ac:dyDescent="0.25">
      <c r="A5" s="4" t="s">
        <v>3</v>
      </c>
      <c r="B5" s="5">
        <v>15000</v>
      </c>
    </row>
    <row r="6" spans="1:2" x14ac:dyDescent="0.25">
      <c r="A6" s="4" t="s">
        <v>4</v>
      </c>
      <c r="B6" s="5">
        <v>3500</v>
      </c>
    </row>
    <row r="7" spans="1:2" x14ac:dyDescent="0.25">
      <c r="A7" s="4" t="s">
        <v>5</v>
      </c>
      <c r="B7" s="5">
        <v>1200</v>
      </c>
    </row>
    <row r="8" spans="1:2" x14ac:dyDescent="0.25">
      <c r="A8" s="4" t="s">
        <v>6</v>
      </c>
      <c r="B8" s="6">
        <v>24</v>
      </c>
    </row>
    <row r="9" spans="1:2" x14ac:dyDescent="0.25">
      <c r="A9" s="4" t="s">
        <v>7</v>
      </c>
      <c r="B9" s="7">
        <v>0.01</v>
      </c>
    </row>
    <row r="11" spans="1:6" x14ac:dyDescent="0.25">
      <c r="A11" s="8" t="s">
        <v>8</v>
      </c>
      <c r="B11" s="8"/>
      <c r="C11" s="8"/>
      <c r="D11" s="8"/>
      <c r="E11" s="8"/>
      <c r="F11" s="8"/>
    </row>
    <row r="12" spans="1:2" x14ac:dyDescent="0.25">
      <c r="A12" s="4" t="s">
        <v>9</v>
      </c>
      <c r="B12" s="9">
        <f>B6-B7</f>
      </c>
    </row>
    <row r="13" spans="1:2" x14ac:dyDescent="0.25">
      <c r="A13" s="4" t="s">
        <v>10</v>
      </c>
      <c r="B13" s="10">
        <f>INT(B5/B12)+IF(MOD(B5/B12,1)&gt;0,1,0)</f>
      </c>
    </row>
    <row r="14" spans="1:2" x14ac:dyDescent="0.25">
      <c r="A14" s="4" t="s">
        <v>11</v>
      </c>
      <c r="B14" s="9">
        <f>B12*B8</f>
      </c>
    </row>
    <row r="15" spans="1:2" x14ac:dyDescent="0.25">
      <c r="A15" s="11" t="s">
        <v>12</v>
      </c>
      <c r="B15" s="12">
        <f>ROUND((B14-B5)/B5*100,1)</f>
      </c>
    </row>
    <row r="16" spans="1:2" x14ac:dyDescent="0.25">
      <c r="A16" s="13" t="s">
        <v>13</v>
      </c>
      <c r="B16" s="14">
        <f>B14-B5</f>
      </c>
    </row>
    <row r="18" spans="1:6" x14ac:dyDescent="0.25">
      <c r="A18" s="15" t="s">
        <v>14</v>
      </c>
      <c r="B18" s="15"/>
      <c r="C18" s="15"/>
      <c r="D18" s="15"/>
      <c r="E18" s="15"/>
      <c r="F18" s="15"/>
    </row>
    <row r="19" spans="1:2" x14ac:dyDescent="0.25">
      <c r="A19" s="16" t="s">
        <v>15</v>
      </c>
      <c r="B19" s="17">
        <f>ROUND(-B5+B12/((1+$B$9)^1)+B12/((1+$B$9)^2)+B12/((1+$B$9)^3)+B12/((1+$B$9)^4)+B12/((1+$B$9)^5)+B12/((1+$B$9)^6)+B12/((1+$B$9)^7)+B12/((1+$B$9)^8)+B12/((1+$B$9)^9)+B12/((1+$B$9)^10)+B12/((1+$B$9)^11)+B12/((1+$B$9)^12)+B12/((1+$B$9)^13)+B12/((1+$B$9)^14)+B12/((1+$B$9)^15)+B12/((1+$B$9)^16)+B12/((1+$B$9)^17)+B12/((1+$B$9)^18)+B12/((1+$B$9)^19)+B12/((1+$B$9)^20)+B12/((1+$B$9)^21)+B12/((1+$B$9)^22)+B12/((1+$B$9)^23)+B12/((1+$B$9)^24),2)</f>
      </c>
    </row>
    <row r="20" spans="1:2" x14ac:dyDescent="0.25">
      <c r="A20" s="11" t="s">
        <v>16</v>
      </c>
      <c r="B20" s="18">
        <f>IF(B19&gt;0,"✅ INVERTIR","❌ NO invertir")</f>
      </c>
    </row>
    <row r="22" spans="1:6" x14ac:dyDescent="0.25">
      <c r="A22" s="19" t="s">
        <v>17</v>
      </c>
      <c r="B22" s="19"/>
      <c r="C22" s="19"/>
      <c r="D22" s="19"/>
      <c r="E22" s="19"/>
      <c r="F22" s="19"/>
    </row>
  </sheetData>
  <mergeCells count="6">
    <mergeCell ref="A1:F1"/>
    <mergeCell ref="A2:F2"/>
    <mergeCell ref="A4:F4"/>
    <mergeCell ref="A11:F11"/>
    <mergeCell ref="A18:F18"/>
    <mergeCell ref="A22:F2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2026-08-23T16:46:33Z</dcterms:created>
  <dcterms:modified xsi:type="dcterms:W3CDTF">2026-08-23T16:46:33Z</dcterms:modified>
</cp:coreProperties>
</file>