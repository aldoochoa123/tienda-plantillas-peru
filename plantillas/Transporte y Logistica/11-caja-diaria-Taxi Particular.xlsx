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<sst xmlns="http://schemas.openxmlformats.org/spreadsheetml/2006/main" count="129" uniqueCount="91">
  <si>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TAXI PARTICULAR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</si>
  <si>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</si>
  <si>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</si>
  <si>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</si>
  <si>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</si>
  <si>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</si>
  <si>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</si>
  <si>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</si>
  <si>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</si>
  <si>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</si>
  <si>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</si>
  <si>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</si>
  <si>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Carrera local</t>
  </si>
  <si>
    <t>08:30</t>
  </si>
  <si>
    <t>B001-10001</t>
  </si>
  <si>
    <t>Yape</t>
  </si>
  <si>
    <t>Carrera al aeropuerto</t>
  </si>
  <si>
    <t>09:15</t>
  </si>
  <si>
    <t>B001-10002</t>
  </si>
  <si>
    <t>Plin</t>
  </si>
  <si>
    <t>Taxi escolar</t>
  </si>
  <si>
    <t>09:45</t>
  </si>
  <si>
    <t>B001-10003</t>
  </si>
  <si>
    <t>10:20</t>
  </si>
  <si>
    <t>B001-10004</t>
  </si>
  <si>
    <t>Tarjeta</t>
  </si>
  <si>
    <t>11:00</t>
  </si>
  <si>
    <t>B001-10005</t>
  </si>
  <si>
    <t>Espera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</si>
  <si>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</si>
  <si>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</si>
  <si>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</si>
  <si>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</si>
  <si>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</si>
  <si>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</si>
  <si>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</si>
  <si>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</si>
  <si>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</si>
  <si>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</si>
  <si>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</si>
  <si>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Traslado interprovincial</t>
  </si>
  <si>
    <t>15:00</t>
  </si>
  <si>
    <t>B001-10011</t>
  </si>
  <si>
    <t>15:30</t>
  </si>
  <si>
    <t>B001-10012</t>
  </si>
  <si>
    <t>Envío de documentos</t>
  </si>
  <si>
    <t>16:00</t>
  </si>
  <si>
    <t>B001-10013</t>
  </si>
  <si>
    <t>Servicio a empresas</t>
  </si>
  <si>
    <t>16:45</t>
  </si>
  <si>
    <t>B001-10014</t>
  </si>
  <si>
    <t>17:15</t>
  </si>
  <si>
    <t>B001-10015</t>
  </si>
  <si>
    <t>Servicio por hora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</si>
  <si>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</si>
  <si>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</si>
  <si>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</si>
  <si>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</si>
  <si>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</si>
  <si>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</si>
  <si>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</si>
  <si>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</si>
  <si>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</si>
  <si>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</si>
  <si>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</si>
  <si>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</si>
  <si>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</si>
  <si>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</si>
  <si>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</si>
  <si>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</si>
  <si>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</si>
  <si>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</si>
  <si>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</si>
  <si>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</si>
  <si>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</si>
  <si>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</si>
  <si>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</si>
  <si>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</si>
  <si>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</si>
  <si>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TAXI PARTICULAR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</si>
  <si>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</si>
  <si>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</si>
  <si>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</si>
  <si>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</si>
  <si>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</si>
  <si>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</si>
  <si>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</si>
  <si>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</si>
  <si>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</si>
  <si>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</si>
  <si>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Taxi Particular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</si>
</sst>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42.33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48.64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57.91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20</v>
      </c>
      <c r="E8" s="7">
        <v>34.03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20</v>
      </c>
      <c r="E9" s="5">
        <v>4.81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43.93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16</v>
      </c>
      <c r="E11" s="5">
        <v>33.16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12</v>
      </c>
      <c r="E12" s="7">
        <v>6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16</v>
      </c>
      <c r="E13" s="5">
        <v>21.67</v>
      </c>
      <c r="F13" s="5">
        <f>ROUND(E13/1.18*0.18,2)</f>
      </c>
      <c r="G13" s="5">
        <f>E13</f>
      </c>
    </row>
    <row r="14" spans="1:7" x14ac:dyDescent="0.25">
      <c r="A14" s="6" t="s">
        <v>36</v>
      </c>
      <c r="B14" s="6" t="s">
        <v>37</v>
      </c>
      <c r="C14" s="6" t="s">
        <v>15</v>
      </c>
      <c r="D14" s="6" t="s">
        <v>28</v>
      </c>
      <c r="E14" s="7">
        <v>33.53</v>
      </c>
      <c r="F14" s="7">
        <f>ROUND(E14/1.18*0.18,2)</f>
      </c>
      <c r="G14" s="7">
        <f>E14</f>
      </c>
    </row>
    <row r="15" spans="1:7" x14ac:dyDescent="0.25">
      <c r="A15" s="4" t="s">
        <v>38</v>
      </c>
      <c r="B15" s="4" t="s">
        <v>39</v>
      </c>
      <c r="C15" s="4" t="s">
        <v>11</v>
      </c>
      <c r="D15" s="4" t="s">
        <v>40</v>
      </c>
      <c r="E15" s="5">
        <v>50.12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16</v>
      </c>
      <c r="E16" s="7">
        <v>30.61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45</v>
      </c>
      <c r="E17" s="5">
        <v>32.91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48</v>
      </c>
      <c r="E18" s="7">
        <v>24.39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48</v>
      </c>
      <c r="E19" s="5">
        <v>48.17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53</v>
      </c>
      <c r="E20" s="7">
        <v>26.88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53</v>
      </c>
      <c r="E21" s="5">
        <v>29.73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20</v>
      </c>
      <c r="E22" s="7">
        <v>19.71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35</v>
      </c>
      <c r="D23" s="4" t="s">
        <v>28</v>
      </c>
      <c r="E23" s="5">
        <v>16.46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28</v>
      </c>
      <c r="E24" s="7">
        <v>25.42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4</v>
      </c>
      <c r="C6" s="7">
        <f>100*B6</f>
      </c>
    </row>
    <row r="7" spans="1:3" x14ac:dyDescent="0.25">
      <c r="A7" s="4" t="s">
        <v>69</v>
      </c>
      <c r="B7" s="8">
        <v>1</v>
      </c>
      <c r="C7" s="5">
        <f>50*B7</f>
      </c>
    </row>
    <row r="8" spans="1:3" x14ac:dyDescent="0.25">
      <c r="A8" s="6" t="s">
        <v>70</v>
      </c>
      <c r="B8" s="9">
        <v>2</v>
      </c>
      <c r="C8" s="7">
        <f>20*B8</f>
      </c>
    </row>
    <row r="9" spans="1:3" x14ac:dyDescent="0.25">
      <c r="A9" s="4" t="s">
        <v>71</v>
      </c>
      <c r="B9" s="8">
        <v>4</v>
      </c>
      <c r="C9" s="5">
        <f>10*B9</f>
      </c>
    </row>
    <row r="10" spans="1:3" x14ac:dyDescent="0.25">
      <c r="A10" s="6" t="s">
        <v>72</v>
      </c>
      <c r="B10" s="9">
        <v>9</v>
      </c>
      <c r="C10" s="7">
        <f>5*B10</f>
      </c>
    </row>
    <row r="11" spans="1:3" x14ac:dyDescent="0.25">
      <c r="A11" s="4" t="s">
        <v>73</v>
      </c>
      <c r="B11" s="8">
        <v>4</v>
      </c>
      <c r="C11" s="5">
        <f>2*B11</f>
      </c>
    </row>
    <row r="12" spans="1:3" x14ac:dyDescent="0.25">
      <c r="A12" s="6" t="s">
        <v>74</v>
      </c>
      <c r="B12" s="9">
        <v>16</v>
      </c>
      <c r="C12" s="7">
        <f>1*B12</f>
      </c>
    </row>
    <row r="13" spans="1:3" x14ac:dyDescent="0.25">
      <c r="A13" s="4" t="s">
        <v>75</v>
      </c>
      <c r="B13" s="8">
        <v>16</v>
      </c>
      <c r="C13" s="5">
        <f>0.5*B13</f>
      </c>
    </row>
    <row r="14" spans="1:3" x14ac:dyDescent="0.25">
      <c r="A14" s="6" t="s">
        <v>76</v>
      </c>
      <c r="B14" s="9">
        <v>3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{C597AF3D-24AF-4DAB-84C0-688B9F557E70}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97AF3D-24AF-4DAB-84C0-688B9F557E70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