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<sst xmlns="http://schemas.openxmlformats.org/spreadsheetml/2006/main" count="129" uniqueCount="91">
  <si>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ALQUILER DE AUTOS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</si>
  <si>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</si>
  <si>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</si>
  <si>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</si>
  <si>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</si>
  <si>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</si>
  <si>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</si>
  <si>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</si>
  <si>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</si>
  <si>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</si>
  <si>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</si>
  <si>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</si>
  <si>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Traslado aeropuerto</t>
  </si>
  <si>
    <t>08:30</t>
  </si>
  <si>
    <t>B001-10001</t>
  </si>
  <si>
    <t>Yape</t>
  </si>
  <si>
    <t>Alquiler mensual</t>
  </si>
  <si>
    <t>09:15</t>
  </si>
  <si>
    <t>B001-10002</t>
  </si>
  <si>
    <t>Plin</t>
  </si>
  <si>
    <t>Seguro</t>
  </si>
  <si>
    <t>09:45</t>
  </si>
  <si>
    <t>B001-10003</t>
  </si>
  <si>
    <t>Alquiler auto económico</t>
  </si>
  <si>
    <t>10:20</t>
  </si>
  <si>
    <t>B001-10004</t>
  </si>
  <si>
    <t>Tarjeta</t>
  </si>
  <si>
    <t>11:00</t>
  </si>
  <si>
    <t>B001-10005</t>
  </si>
  <si>
    <t>Kilómetro extra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</si>
  <si>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</si>
  <si>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</si>
  <si>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</si>
  <si>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</si>
  <si>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</si>
  <si>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</si>
  <si>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</si>
  <si>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</si>
  <si>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</si>
  <si>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</si>
  <si>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</si>
  <si>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</si>
  <si>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</si>
  <si>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Alquiler SUV</t>
  </si>
  <si>
    <t>15:30</t>
  </si>
  <si>
    <t>B001-10012</t>
  </si>
  <si>
    <t>Con chofer por día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</si>
  <si>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</si>
  <si>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</si>
  <si>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</si>
  <si>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</si>
  <si>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</si>
  <si>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</si>
  <si>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</si>
  <si>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</si>
  <si>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Alquiler van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</si>
  <si>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</si>
  <si>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</si>
  <si>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</si>
  <si>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</si>
  <si>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</si>
  <si>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</si>
  <si>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</si>
  <si>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</si>
  <si>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</si>
  <si>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</si>
  <si>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</si>
  <si>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</si>
  <si>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</si>
  <si>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</si>
  <si>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</si>
  <si>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</si>
  <si>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</si>
  <si>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</si>
  <si>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</si>
  <si>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</si>
  <si>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</si>
  <si>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</si>
  <si>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</si>
  <si>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ALQUILER DE AUTOS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</si>
  <si>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</si>
  <si>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</si>
  <si>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</si>
  <si>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</si>
  <si>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</si>
  <si>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</si>
  <si>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</si>
  <si>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</si>
  <si>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</si>
  <si>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</si>
  <si>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Alquiler de Autos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</si>
</sst>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18.88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26.86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10.82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36.66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16</v>
      </c>
      <c r="E9" s="5">
        <v>56.17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39.57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12</v>
      </c>
      <c r="E11" s="5">
        <v>7.79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16</v>
      </c>
      <c r="E12" s="7">
        <v>45.58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23</v>
      </c>
      <c r="E13" s="5">
        <v>15.06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16</v>
      </c>
      <c r="E14" s="7">
        <v>12.67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24.32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43</v>
      </c>
      <c r="E16" s="7">
        <v>52.04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12.61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43</v>
      </c>
      <c r="E18" s="7">
        <v>40.64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46</v>
      </c>
      <c r="E19" s="5">
        <v>12.99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43</v>
      </c>
      <c r="E20" s="7">
        <v>51.76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55</v>
      </c>
      <c r="E21" s="5">
        <v>39.49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23</v>
      </c>
      <c r="E22" s="7">
        <v>3.8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55</v>
      </c>
      <c r="E23" s="5">
        <v>26.49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23</v>
      </c>
      <c r="E24" s="7">
        <v>21.31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1</v>
      </c>
      <c r="C8" s="7">
        <f>20*B8</f>
      </c>
    </row>
    <row r="9" spans="1:3" x14ac:dyDescent="0.25">
      <c r="A9" s="4" t="s">
        <v>71</v>
      </c>
      <c r="B9" s="8">
        <v>9</v>
      </c>
      <c r="C9" s="5">
        <f>10*B9</f>
      </c>
    </row>
    <row r="10" spans="1:3" x14ac:dyDescent="0.25">
      <c r="A10" s="6" t="s">
        <v>72</v>
      </c>
      <c r="B10" s="9">
        <v>10</v>
      </c>
      <c r="C10" s="7">
        <f>5*B10</f>
      </c>
    </row>
    <row r="11" spans="1:3" x14ac:dyDescent="0.25">
      <c r="A11" s="4" t="s">
        <v>73</v>
      </c>
      <c r="B11" s="8">
        <v>10</v>
      </c>
      <c r="C11" s="5">
        <f>2*B11</f>
      </c>
    </row>
    <row r="12" spans="1:3" x14ac:dyDescent="0.25">
      <c r="A12" s="6" t="s">
        <v>74</v>
      </c>
      <c r="B12" s="9">
        <v>3</v>
      </c>
      <c r="C12" s="7">
        <f>1*B12</f>
      </c>
    </row>
    <row r="13" spans="1:3" x14ac:dyDescent="0.25">
      <c r="A13" s="4" t="s">
        <v>75</v>
      </c>
      <c r="B13" s="8">
        <v>15</v>
      </c>
      <c r="C13" s="5">
        <f>0.5*B13</f>
      </c>
    </row>
    <row r="14" spans="1:3" x14ac:dyDescent="0.25">
      <c r="A14" s="6" t="s">
        <v>76</v>
      </c>
      <c r="B14" s="9">
        <v>18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{394DA09B-E0DC-43FA-B964-3F0EB7A8E752}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4DA09B-E0DC-43FA-B964-3F0EB7A8E752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