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<sst xmlns="http://schemas.openxmlformats.org/spreadsheetml/2006/main" count="31" uniqueCount="30">
  <si>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COURIER Y ENCOMIENDAS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</si>
  <si>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</si>
  <si>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</si>
  <si>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</si>
  <si>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</si>
  <si>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</si>
  <si>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</si>
  <si>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</si>
  <si>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</si>
  <si>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</si>
  <si>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</si>
  <si>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</si>
  <si>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</si>
  <si>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</si>
  <si>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</si>
  <si>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</si>
  <si>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</si>
  <si>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</si>
  <si>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</si>
  <si>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</si>
  <si>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</si>
  <si>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</si>
  <si>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</si>
  <si>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</si>
  <si>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</si>
  <si>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</si>
  <si>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</si>
  <si>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</si>
  <si>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</si>
  <si>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Courier y Encomiendas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</si>
</sst>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44355</v>
      </c>
      <c r="C6" s="6">
        <v>310485</v>
      </c>
      <c r="D6" s="6">
        <v>332662.5</v>
      </c>
      <c r="E6" s="7">
        <f>C6/D6</f>
      </c>
    </row>
    <row r="7" spans="1:5" x14ac:dyDescent="0.25">
      <c r="A7" s="8" t="s">
        <v>9</v>
      </c>
      <c r="B7" s="9">
        <v>3813</v>
      </c>
      <c r="C7" s="9">
        <v>26691</v>
      </c>
      <c r="D7" s="9">
        <v>22878</v>
      </c>
      <c r="E7" s="10">
        <f>C7/D7</f>
      </c>
    </row>
    <row r="8" spans="1:5" x14ac:dyDescent="0.25">
      <c r="A8" s="5" t="s">
        <v>10</v>
      </c>
      <c r="B8" s="6">
        <v>2127</v>
      </c>
      <c r="C8" s="6">
        <v>14889</v>
      </c>
      <c r="D8" s="6">
        <v>13825.5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24995</v>
      </c>
      <c r="C12" s="15">
        <v>174965</v>
      </c>
      <c r="D12" s="15">
        <v>174965</v>
      </c>
      <c r="E12" s="5"/>
    </row>
    <row r="13" spans="1:5" x14ac:dyDescent="0.25">
      <c r="A13" s="8" t="s">
        <v>14</v>
      </c>
      <c r="B13" s="16">
        <v>4137</v>
      </c>
      <c r="C13" s="16">
        <v>28959</v>
      </c>
      <c r="D13" s="16">
        <v>28959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4991.39</v>
      </c>
      <c r="C18" s="6">
        <v>34939.73</v>
      </c>
      <c r="D18" s="6">
        <v>35938.008</v>
      </c>
      <c r="E18" s="5"/>
    </row>
    <row r="19" spans="1:5" x14ac:dyDescent="0.25">
      <c r="A19" s="8" t="s">
        <v>20</v>
      </c>
      <c r="B19" s="9">
        <v>4169.81</v>
      </c>
      <c r="C19" s="9">
        <v>29188.670000000002</v>
      </c>
      <c r="D19" s="9">
        <v>30022.632000000005</v>
      </c>
      <c r="E19" s="8"/>
    </row>
    <row r="20" spans="1:5" x14ac:dyDescent="0.25">
      <c r="A20" s="5" t="s">
        <v>21</v>
      </c>
      <c r="B20" s="6">
        <v>5661.97</v>
      </c>
      <c r="C20" s="6">
        <v>39633.79</v>
      </c>
      <c r="D20" s="6">
        <v>40766.184</v>
      </c>
      <c r="E20" s="5"/>
    </row>
    <row r="21" spans="1:5" x14ac:dyDescent="0.25">
      <c r="A21" s="8" t="s">
        <v>22</v>
      </c>
      <c r="B21" s="9">
        <v>3890.18</v>
      </c>
      <c r="C21" s="9">
        <v>27231.26</v>
      </c>
      <c r="D21" s="9">
        <v>28009.296</v>
      </c>
      <c r="E21" s="8"/>
    </row>
    <row r="22" spans="1:5" x14ac:dyDescent="0.25">
      <c r="A22" s="5" t="s">
        <v>23</v>
      </c>
      <c r="B22" s="6">
        <v>2855.61</v>
      </c>
      <c r="C22" s="6">
        <v>19989.27</v>
      </c>
      <c r="D22" s="6">
        <v>20560.392</v>
      </c>
      <c r="E22" s="5"/>
    </row>
    <row r="23" spans="1:5" x14ac:dyDescent="0.25">
      <c r="A23" s="8" t="s">
        <v>24</v>
      </c>
      <c r="B23" s="9">
        <v>3163.17</v>
      </c>
      <c r="C23" s="9">
        <v>22142.190000000002</v>
      </c>
      <c r="D23" s="9">
        <v>22774.824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1073</v>
      </c>
      <c r="C27" s="15">
        <v>7511</v>
      </c>
      <c r="D27" s="15">
        <v>7511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