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<sst xmlns="http://schemas.openxmlformats.org/spreadsheetml/2006/main" count="129" uniqueCount="91">
  <si>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TRANSPORTE DE CARGA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</si>
  <si>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</si>
  <si>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</si>
  <si>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</si>
  <si>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</si>
  <si>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</si>
  <si>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</si>
  <si>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</si>
  <si>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</si>
  <si>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</si>
  <si>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</si>
  <si>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</si>
  <si>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Encomienda</t>
  </si>
  <si>
    <t>08:30</t>
  </si>
  <si>
    <t>B001-10001</t>
  </si>
  <si>
    <t>Yape</t>
  </si>
  <si>
    <t>Carga refrigerada</t>
  </si>
  <si>
    <t>09:15</t>
  </si>
  <si>
    <t>B001-10002</t>
  </si>
  <si>
    <t>Plin</t>
  </si>
  <si>
    <t>Almacenaje</t>
  </si>
  <si>
    <t>09:45</t>
  </si>
  <si>
    <t>B001-10003</t>
  </si>
  <si>
    <t>Transporte de material</t>
  </si>
  <si>
    <t>10:20</t>
  </si>
  <si>
    <t>B001-10004</t>
  </si>
  <si>
    <t>Tarjeta</t>
  </si>
  <si>
    <t>11:00</t>
  </si>
  <si>
    <t>B001-10005</t>
  </si>
  <si>
    <t>11:40</t>
  </si>
  <si>
    <t>B001-10006</t>
  </si>
  <si>
    <t>12:15</t>
  </si>
  <si>
    <t>B001-10007</t>
  </si>
  <si>
    <t>Alquiler camión hora</t>
  </si>
  <si>
    <t>12:50</t>
  </si>
  <si>
    <t>B001-10008</t>
  </si>
  <si>
    <t>Transferencia</t>
  </si>
  <si>
    <t>13:30</t>
  </si>
  <si>
    <t>B001-10009</t>
  </si>
  <si>
    <t>14:10</t>
  </si>
  <si>
    <t>B001-10010</t>
  </si>
  <si>
    <t>Flete Lima-Provincia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</si>
  <si>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</si>
  <si>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</si>
  <si>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</si>
  <si>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</si>
  <si>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</si>
  <si>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</si>
  <si>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</si>
  <si>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</si>
  <si>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Flete local</t>
  </si>
  <si>
    <t>17:15</t>
  </si>
  <si>
    <t>B001-10015</t>
  </si>
  <si>
    <t>17:45</t>
  </si>
  <si>
    <t>B001-10016</t>
  </si>
  <si>
    <t>Mudanza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</si>
  <si>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</si>
  <si>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</si>
  <si>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</si>
  <si>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</si>
  <si>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</si>
  <si>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</si>
  <si>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</si>
  <si>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</si>
  <si>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</si>
  <si>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</si>
  <si>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</si>
  <si>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</si>
  <si>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</si>
  <si>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</si>
  <si>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</si>
  <si>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</si>
  <si>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</si>
  <si>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</si>
  <si>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</si>
  <si>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</si>
  <si>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</si>
  <si>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</si>
  <si>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</si>
  <si>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TRANSPORTE DE CARGA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</si>
  <si>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</si>
  <si>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</si>
  <si>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</si>
  <si>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</si>
  <si>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</si>
  <si>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</si>
  <si>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</si>
  <si>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</si>
  <si>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</si>
  <si>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</si>
  <si>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Transporte de Carga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</si>
</sst>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6.17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7.97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4.84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40.29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23</v>
      </c>
      <c r="E9" s="5">
        <v>36.59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12</v>
      </c>
      <c r="E10" s="7">
        <v>33.73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16</v>
      </c>
      <c r="E11" s="5">
        <v>40.48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33</v>
      </c>
      <c r="E12" s="7">
        <v>46.23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33</v>
      </c>
      <c r="E13" s="5">
        <v>32.04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12</v>
      </c>
      <c r="E14" s="7">
        <v>40.4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38.05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41</v>
      </c>
      <c r="E16" s="7">
        <v>29.86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41</v>
      </c>
      <c r="E17" s="5">
        <v>49.69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12</v>
      </c>
      <c r="E18" s="7">
        <v>14.12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26</v>
      </c>
      <c r="D19" s="4" t="s">
        <v>50</v>
      </c>
      <c r="E19" s="5">
        <v>36.46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33</v>
      </c>
      <c r="E20" s="7">
        <v>33.02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55</v>
      </c>
      <c r="E21" s="5">
        <v>19.53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16</v>
      </c>
      <c r="E22" s="7">
        <v>11.24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55</v>
      </c>
      <c r="E23" s="5">
        <v>5.64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16</v>
      </c>
      <c r="E24" s="7">
        <v>16.8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2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0</v>
      </c>
      <c r="C7" s="5">
        <f>50*B7</f>
      </c>
    </row>
    <row r="8" spans="1:3" x14ac:dyDescent="0.25">
      <c r="A8" s="6" t="s">
        <v>70</v>
      </c>
      <c r="B8" s="9">
        <v>15</v>
      </c>
      <c r="C8" s="7">
        <f>20*B8</f>
      </c>
    </row>
    <row r="9" spans="1:3" x14ac:dyDescent="0.25">
      <c r="A9" s="4" t="s">
        <v>71</v>
      </c>
      <c r="B9" s="8">
        <v>4</v>
      </c>
      <c r="C9" s="5">
        <f>10*B9</f>
      </c>
    </row>
    <row r="10" spans="1:3" x14ac:dyDescent="0.25">
      <c r="A10" s="6" t="s">
        <v>72</v>
      </c>
      <c r="B10" s="9">
        <v>11</v>
      </c>
      <c r="C10" s="7">
        <f>5*B10</f>
      </c>
    </row>
    <row r="11" spans="1:3" x14ac:dyDescent="0.25">
      <c r="A11" s="4" t="s">
        <v>73</v>
      </c>
      <c r="B11" s="8">
        <v>3</v>
      </c>
      <c r="C11" s="5">
        <f>2*B11</f>
      </c>
    </row>
    <row r="12" spans="1:3" x14ac:dyDescent="0.25">
      <c r="A12" s="6" t="s">
        <v>74</v>
      </c>
      <c r="B12" s="9">
        <v>10</v>
      </c>
      <c r="C12" s="7">
        <f>1*B12</f>
      </c>
    </row>
    <row r="13" spans="1:3" x14ac:dyDescent="0.25">
      <c r="A13" s="4" t="s">
        <v>75</v>
      </c>
      <c r="B13" s="8">
        <v>6</v>
      </c>
      <c r="C13" s="5">
        <f>0.5*B13</f>
      </c>
    </row>
    <row r="14" spans="1:3" x14ac:dyDescent="0.25">
      <c r="A14" s="6" t="s">
        <v>76</v>
      </c>
      <c r="B14" s="9">
        <v>2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{83C26595-87A4-4DEC-82A5-1F83A2B38E3D}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C26595-87A4-4DEC-82A5-1F83A2B38E3D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