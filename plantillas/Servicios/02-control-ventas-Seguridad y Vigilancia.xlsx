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Ventas" state="visible" r:id="rId5"/>
  </sheets>
  <calcPr calcId="171027"/>
</workbook>
</file>

<file path=xl/sharedStrings.xml><?xml version="1.0" encoding="utf-8"?>
<sst xmlns="http://schemas.openxmlformats.org/spreadsheetml/2006/main" count="169" uniqueCount="54">
  <si>
    <t>CONTROL DE VENTAS — SEGURIDAD Y VIGILANCIA</t>
  </si>
  <si>
    <t>Resumen automático de tu actividad comercial</t>
  </si>
  <si>
    <t>VENTAS TOTALES</t>
  </si>
  <si>
    <t>N° DE VENTAS</t>
  </si>
  <si>
    <t/>
  </si>
  <si>
    <t>TICKET PROMEDIO</t>
  </si>
  <si>
    <t>UNIDADES VENDIDAS</t>
  </si>
  <si>
    <t>VENTAS POR MES</t>
  </si>
  <si>
    <t>TOP PRODUCTOS / SERVICIOS</t>
  </si>
  <si>
    <t>Mes</t>
  </si>
  <si>
    <t>Importe</t>
  </si>
  <si>
    <t>% del total</t>
  </si>
  <si>
    <t>Producto</t>
  </si>
  <si>
    <t>Unidades</t>
  </si>
  <si>
    <t>Ene</t>
  </si>
  <si>
    <t>Vigilancia 12h</t>
  </si>
  <si>
    <t>Feb</t>
  </si>
  <si>
    <t>Vigilancia 24h</t>
  </si>
  <si>
    <t>Mar</t>
  </si>
  <si>
    <t>CCTV instalación</t>
  </si>
  <si>
    <t>Abr</t>
  </si>
  <si>
    <t>Monitoreo</t>
  </si>
  <si>
    <t>May</t>
  </si>
  <si>
    <t>Rondín nocturno</t>
  </si>
  <si>
    <t>Jun</t>
  </si>
  <si>
    <t>Escolta</t>
  </si>
  <si>
    <t>Jul</t>
  </si>
  <si>
    <t>Conserjería</t>
  </si>
  <si>
    <t>Ago</t>
  </si>
  <si>
    <t>Evaluación de riesgo</t>
  </si>
  <si>
    <t>Sep</t>
  </si>
  <si>
    <t>Oct</t>
  </si>
  <si>
    <t>Nov</t>
  </si>
  <si>
    <t>Dic</t>
  </si>
  <si>
    <t>Seguridad y Vigilancia · Plantilla profesional Pack Perú</t>
  </si>
  <si>
    <t>REGISTRO DE VENTAS — SEGURIDAD Y VIGILANCIA</t>
  </si>
  <si>
    <t>Cada venta que registres alimenta el Resumen automáticamente</t>
  </si>
  <si>
    <t>Fecha</t>
  </si>
  <si>
    <t>Comprobante</t>
  </si>
  <si>
    <t>Cliente</t>
  </si>
  <si>
    <t>Producto/Servicio</t>
  </si>
  <si>
    <t>Cant.</t>
  </si>
  <si>
    <t>Precio Unit.</t>
  </si>
  <si>
    <t>Total</t>
  </si>
  <si>
    <t>Factura</t>
  </si>
  <si>
    <t>Comercial Andina</t>
  </si>
  <si>
    <t>Boleta</t>
  </si>
  <si>
    <t>Juan Pérez</t>
  </si>
  <si>
    <t>Inversiones Norte E.I.R.L.</t>
  </si>
  <si>
    <t>Mercado Central</t>
  </si>
  <si>
    <t>Maria Lopez S.A.C.</t>
  </si>
  <si>
    <t>Lucía Fernández</t>
  </si>
  <si>
    <t>Distribuidora Sur</t>
  </si>
  <si>
    <t>Roberto Castillo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</si>
</sst>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2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0D9488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3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164" fontId="7" fillId="5" borderId="0" xfId="0" applyNumberFormat="1" applyFont="1" applyFill="1" applyAlignment="1">
      <alignment horizontal="center" vertical="center"/>
    </xf>
    <xf numFmtId="3" fontId="8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3" fontId="6" fillId="5" borderId="1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6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166" fontId="6" fillId="5" borderId="1" xfId="0" applyNumberFormat="1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14" customWidth="1"/>
    <col min="3" max="3" width="13" customWidth="1"/>
    <col min="4" max="5" width="12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SUM(Ventas!G5:G34)</f>
      </c>
      <c r="B5" s="5"/>
      <c r="C5" s="5"/>
      <c r="D5" s="6">
        <f>COUNTA(Ventas!A5:A34)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7" spans="1:6" x14ac:dyDescent="0.25">
      <c r="A7" s="8" t="s">
        <v>5</v>
      </c>
      <c r="B7" s="8"/>
      <c r="C7" s="8"/>
      <c r="D7" s="9" t="s">
        <v>6</v>
      </c>
      <c r="E7" s="9"/>
      <c r="F7" s="9"/>
    </row>
    <row r="8" ht="24" customHeight="1" spans="1:6" x14ac:dyDescent="0.25">
      <c r="A8" s="10">
        <f>IF(COUNTA(Ventas!A5:A34)=0,0,SUM(Ventas!G5:G34)/COUNTA(Ventas!A5:A34))</f>
      </c>
      <c r="B8" s="10"/>
      <c r="C8" s="10"/>
      <c r="D8" s="11">
        <f>SUM(Ventas!E5:E34)</f>
      </c>
      <c r="E8" s="11"/>
      <c r="F8" s="11"/>
    </row>
    <row r="9" spans="1:6" x14ac:dyDescent="0.25">
      <c r="A9" s="7" t="s">
        <v>4</v>
      </c>
      <c r="B9" s="7"/>
      <c r="C9" s="7"/>
      <c r="D9" s="7" t="s">
        <v>4</v>
      </c>
      <c r="E9" s="7"/>
      <c r="F9" s="7"/>
    </row>
    <row r="12" spans="1:4" x14ac:dyDescent="0.25">
      <c r="A12" s="12" t="s">
        <v>7</v>
      </c>
      <c r="D12" s="12" t="s">
        <v>8</v>
      </c>
    </row>
    <row r="13" ht="22" customHeight="1" spans="1:6" x14ac:dyDescent="0.25">
      <c r="A13" s="13" t="s">
        <v>9</v>
      </c>
      <c r="B13" s="13" t="s">
        <v>10</v>
      </c>
      <c r="C13" s="13" t="s">
        <v>11</v>
      </c>
      <c r="D13" s="13" t="s">
        <v>12</v>
      </c>
      <c r="E13" s="13" t="s">
        <v>13</v>
      </c>
      <c r="F13" s="13" t="s">
        <v>10</v>
      </c>
    </row>
    <row r="14" spans="1:6" x14ac:dyDescent="0.25">
      <c r="A14" s="14" t="s">
        <v>14</v>
      </c>
      <c r="B14" s="15">
        <f>SUMIF(Ventas!$H:$H,A14,Ventas!$G:$G)</f>
      </c>
      <c r="C14" s="16">
        <f>IF(SUM(Ventas!$G$5:$G$34)=0,0,B14/SUM(Ventas!$G$5:$G$34))</f>
      </c>
      <c r="D14" s="14" t="s">
        <v>15</v>
      </c>
      <c r="E14" s="17">
        <f>SUMIF(Ventas!$D:$D,D14,Ventas!$E:$E)</f>
      </c>
      <c r="F14" s="15">
        <f>SUMIF(Ventas!$D:$D,D14,Ventas!$G:$G)</f>
      </c>
    </row>
    <row r="15" spans="1:6" x14ac:dyDescent="0.25">
      <c r="A15" s="18" t="s">
        <v>16</v>
      </c>
      <c r="B15" s="19">
        <f>SUMIF(Ventas!$H:$H,A15,Ventas!$G:$G)</f>
      </c>
      <c r="C15" s="20">
        <f>IF(SUM(Ventas!$G$5:$G$34)=0,0,B15/SUM(Ventas!$G$5:$G$34))</f>
      </c>
      <c r="D15" s="18" t="s">
        <v>17</v>
      </c>
      <c r="E15" s="21">
        <f>SUMIF(Ventas!$D:$D,D15,Ventas!$E:$E)</f>
      </c>
      <c r="F15" s="19">
        <f>SUMIF(Ventas!$D:$D,D15,Ventas!$G:$G)</f>
      </c>
    </row>
    <row r="16" spans="1:6" x14ac:dyDescent="0.25">
      <c r="A16" s="14" t="s">
        <v>18</v>
      </c>
      <c r="B16" s="15">
        <f>SUMIF(Ventas!$H:$H,A16,Ventas!$G:$G)</f>
      </c>
      <c r="C16" s="16">
        <f>IF(SUM(Ventas!$G$5:$G$34)=0,0,B16/SUM(Ventas!$G$5:$G$34))</f>
      </c>
      <c r="D16" s="14" t="s">
        <v>19</v>
      </c>
      <c r="E16" s="17">
        <f>SUMIF(Ventas!$D:$D,D16,Ventas!$E:$E)</f>
      </c>
      <c r="F16" s="15">
        <f>SUMIF(Ventas!$D:$D,D16,Ventas!$G:$G)</f>
      </c>
    </row>
    <row r="17" spans="1:6" x14ac:dyDescent="0.25">
      <c r="A17" s="18" t="s">
        <v>20</v>
      </c>
      <c r="B17" s="19">
        <f>SUMIF(Ventas!$H:$H,A17,Ventas!$G:$G)</f>
      </c>
      <c r="C17" s="20">
        <f>IF(SUM(Ventas!$G$5:$G$34)=0,0,B17/SUM(Ventas!$G$5:$G$34))</f>
      </c>
      <c r="D17" s="18" t="s">
        <v>21</v>
      </c>
      <c r="E17" s="21">
        <f>SUMIF(Ventas!$D:$D,D17,Ventas!$E:$E)</f>
      </c>
      <c r="F17" s="19">
        <f>SUMIF(Ventas!$D:$D,D17,Ventas!$G:$G)</f>
      </c>
    </row>
    <row r="18" spans="1:6" x14ac:dyDescent="0.25">
      <c r="A18" s="14" t="s">
        <v>22</v>
      </c>
      <c r="B18" s="15">
        <f>SUMIF(Ventas!$H:$H,A18,Ventas!$G:$G)</f>
      </c>
      <c r="C18" s="16">
        <f>IF(SUM(Ventas!$G$5:$G$34)=0,0,B18/SUM(Ventas!$G$5:$G$34))</f>
      </c>
      <c r="D18" s="14" t="s">
        <v>23</v>
      </c>
      <c r="E18" s="17">
        <f>SUMIF(Ventas!$D:$D,D18,Ventas!$E:$E)</f>
      </c>
      <c r="F18" s="15">
        <f>SUMIF(Ventas!$D:$D,D18,Ventas!$G:$G)</f>
      </c>
    </row>
    <row r="19" spans="1:6" x14ac:dyDescent="0.25">
      <c r="A19" s="18" t="s">
        <v>24</v>
      </c>
      <c r="B19" s="19">
        <f>SUMIF(Ventas!$H:$H,A19,Ventas!$G:$G)</f>
      </c>
      <c r="C19" s="20">
        <f>IF(SUM(Ventas!$G$5:$G$34)=0,0,B19/SUM(Ventas!$G$5:$G$34))</f>
      </c>
      <c r="D19" s="18" t="s">
        <v>25</v>
      </c>
      <c r="E19" s="21">
        <f>SUMIF(Ventas!$D:$D,D19,Ventas!$E:$E)</f>
      </c>
      <c r="F19" s="19">
        <f>SUMIF(Ventas!$D:$D,D19,Ventas!$G:$G)</f>
      </c>
    </row>
    <row r="20" spans="1:6" x14ac:dyDescent="0.25">
      <c r="A20" s="14" t="s">
        <v>26</v>
      </c>
      <c r="B20" s="15">
        <f>SUMIF(Ventas!$H:$H,A20,Ventas!$G:$G)</f>
      </c>
      <c r="C20" s="16">
        <f>IF(SUM(Ventas!$G$5:$G$34)=0,0,B20/SUM(Ventas!$G$5:$G$34))</f>
      </c>
      <c r="D20" s="14" t="s">
        <v>27</v>
      </c>
      <c r="E20" s="17">
        <f>SUMIF(Ventas!$D:$D,D20,Ventas!$E:$E)</f>
      </c>
      <c r="F20" s="15">
        <f>SUMIF(Ventas!$D:$D,D20,Ventas!$G:$G)</f>
      </c>
    </row>
    <row r="21" spans="1:6" x14ac:dyDescent="0.25">
      <c r="A21" s="18" t="s">
        <v>28</v>
      </c>
      <c r="B21" s="19">
        <f>SUMIF(Ventas!$H:$H,A21,Ventas!$G:$G)</f>
      </c>
      <c r="C21" s="20">
        <f>IF(SUM(Ventas!$G$5:$G$34)=0,0,B21/SUM(Ventas!$G$5:$G$34))</f>
      </c>
      <c r="D21" s="18" t="s">
        <v>29</v>
      </c>
      <c r="E21" s="21">
        <f>SUMIF(Ventas!$D:$D,D21,Ventas!$E:$E)</f>
      </c>
      <c r="F21" s="19">
        <f>SUMIF(Ventas!$D:$D,D21,Ventas!$G:$G)</f>
      </c>
    </row>
    <row r="22" spans="1:3" x14ac:dyDescent="0.25">
      <c r="A22" s="14" t="s">
        <v>30</v>
      </c>
      <c r="B22" s="15">
        <f>SUMIF(Ventas!$H:$H,A22,Ventas!$G:$G)</f>
      </c>
      <c r="C22" s="16">
        <f>IF(SUM(Ventas!$G$5:$G$34)=0,0,B22/SUM(Ventas!$G$5:$G$34))</f>
      </c>
    </row>
    <row r="23" spans="1:3" x14ac:dyDescent="0.25">
      <c r="A23" s="18" t="s">
        <v>31</v>
      </c>
      <c r="B23" s="19">
        <f>SUMIF(Ventas!$H:$H,A23,Ventas!$G:$G)</f>
      </c>
      <c r="C23" s="20">
        <f>IF(SUM(Ventas!$G$5:$G$34)=0,0,B23/SUM(Ventas!$G$5:$G$34))</f>
      </c>
    </row>
    <row r="24" spans="1:3" x14ac:dyDescent="0.25">
      <c r="A24" s="14" t="s">
        <v>32</v>
      </c>
      <c r="B24" s="15">
        <f>SUMIF(Ventas!$H:$H,A24,Ventas!$G:$G)</f>
      </c>
      <c r="C24" s="16">
        <f>IF(SUM(Ventas!$G$5:$G$34)=0,0,B24/SUM(Ventas!$G$5:$G$34))</f>
      </c>
    </row>
    <row r="25" spans="1:3" x14ac:dyDescent="0.25">
      <c r="A25" s="18" t="s">
        <v>33</v>
      </c>
      <c r="B25" s="19">
        <f>SUMIF(Ventas!$H:$H,A25,Ventas!$G:$G)</f>
      </c>
      <c r="C25" s="20">
        <f>IF(SUM(Ventas!$G$5:$G$34)=0,0,B25/SUM(Ventas!$G$5:$G$34))</f>
      </c>
    </row>
    <row r="33" spans="1:6" x14ac:dyDescent="0.25">
      <c r="A33" s="22" t="s">
        <v>34</v>
      </c>
      <c r="B33" s="22"/>
      <c r="C33" s="22"/>
      <c r="D33" s="22"/>
      <c r="E33" s="22"/>
      <c r="F33" s="22"/>
    </row>
  </sheetData>
  <mergeCells count="15">
    <mergeCell ref="A1:F1"/>
    <mergeCell ref="A2:F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33:F33"/>
  </mergeCells>
  <conditionalFormatting sqref="B14:B25">
    <cfRule type="dataBar" priority="1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{8DAA0FE6-107D-449A-A66A-A9D955C6EB51}</x14:id>
        </ext>
      </extLst>
    </cfRule>
  </conditionalFormatting>
  <conditionalFormatting sqref="E14:E21">
    <cfRule type="dataBar" priority="2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{D0E75B51-00E3-4CB1-800C-4F4C711F19BB}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DAA0FE6-107D-449A-A66A-A9D955C6EB51}">
            <x14:dataBar minLength="0" maxLength="100">
              <x14:cfvo type="min"/>
              <x14:cfvo type="max"/>
            </x14:dataBar>
          </x14:cfRule>
          <xm:sqref>B14:B25</xm:sqref>
        </x14:conditionalFormatting>
        <x14:conditionalFormatting xmlns:xm="http://schemas.microsoft.com/office/excel/2006/main">
          <x14:cfRule type="dataBar" id="{D0E75B51-00E3-4CB1-800C-4F4C711F19BB}">
            <x14:dataBar minLength="0" maxLength="100">
              <x14:cfvo type="min"/>
              <x14:cfvo type="max"/>
            </x14:dataBar>
          </x14:cfRule>
          <xm:sqref>E14:E21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4" customWidth="1"/>
    <col min="4" max="4" width="26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35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36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3" t="s">
        <v>37</v>
      </c>
      <c r="B4" s="13" t="s">
        <v>38</v>
      </c>
      <c r="C4" s="13" t="s">
        <v>39</v>
      </c>
      <c r="D4" s="13" t="s">
        <v>40</v>
      </c>
      <c r="E4" s="13" t="s">
        <v>41</v>
      </c>
      <c r="F4" s="13" t="s">
        <v>42</v>
      </c>
      <c r="G4" s="13" t="s">
        <v>43</v>
      </c>
      <c r="H4" s="13" t="s">
        <v>9</v>
      </c>
    </row>
    <row r="5" spans="1:8" x14ac:dyDescent="0.25">
      <c r="A5" s="23">
        <v>46099</v>
      </c>
      <c r="B5" s="14" t="s">
        <v>44</v>
      </c>
      <c r="C5" s="14" t="s">
        <v>45</v>
      </c>
      <c r="D5" s="14" t="s">
        <v>21</v>
      </c>
      <c r="E5" s="24">
        <v>3</v>
      </c>
      <c r="F5" s="15">
        <v>29.3</v>
      </c>
      <c r="G5" s="15">
        <f>E5*F5</f>
      </c>
      <c r="H5" s="14" t="s">
        <v>18</v>
      </c>
    </row>
    <row r="6" spans="1:8" x14ac:dyDescent="0.25">
      <c r="A6" s="25">
        <v>46197</v>
      </c>
      <c r="B6" s="18" t="s">
        <v>46</v>
      </c>
      <c r="C6" s="18" t="s">
        <v>47</v>
      </c>
      <c r="D6" s="18" t="s">
        <v>27</v>
      </c>
      <c r="E6" s="26">
        <v>2</v>
      </c>
      <c r="F6" s="19">
        <v>11.6</v>
      </c>
      <c r="G6" s="19">
        <f>E6*F6</f>
      </c>
      <c r="H6" s="18" t="s">
        <v>24</v>
      </c>
    </row>
    <row r="7" spans="1:8" x14ac:dyDescent="0.25">
      <c r="A7" s="23">
        <v>46181</v>
      </c>
      <c r="B7" s="14" t="s">
        <v>46</v>
      </c>
      <c r="C7" s="14" t="s">
        <v>48</v>
      </c>
      <c r="D7" s="14" t="s">
        <v>27</v>
      </c>
      <c r="E7" s="24">
        <v>6</v>
      </c>
      <c r="F7" s="15">
        <v>22.3</v>
      </c>
      <c r="G7" s="15">
        <f>E7*F7</f>
      </c>
      <c r="H7" s="14" t="s">
        <v>24</v>
      </c>
    </row>
    <row r="8" spans="1:8" x14ac:dyDescent="0.25">
      <c r="A8" s="25">
        <v>46092</v>
      </c>
      <c r="B8" s="18" t="s">
        <v>44</v>
      </c>
      <c r="C8" s="18" t="s">
        <v>48</v>
      </c>
      <c r="D8" s="18" t="s">
        <v>29</v>
      </c>
      <c r="E8" s="26">
        <v>3</v>
      </c>
      <c r="F8" s="19">
        <v>51.8</v>
      </c>
      <c r="G8" s="19">
        <f>E8*F8</f>
      </c>
      <c r="H8" s="18" t="s">
        <v>18</v>
      </c>
    </row>
    <row r="9" spans="1:8" x14ac:dyDescent="0.25">
      <c r="A9" s="23">
        <v>46087</v>
      </c>
      <c r="B9" s="14" t="s">
        <v>44</v>
      </c>
      <c r="C9" s="14" t="s">
        <v>49</v>
      </c>
      <c r="D9" s="14" t="s">
        <v>23</v>
      </c>
      <c r="E9" s="24">
        <v>1</v>
      </c>
      <c r="F9" s="15">
        <v>48.7</v>
      </c>
      <c r="G9" s="15">
        <f>E9*F9</f>
      </c>
      <c r="H9" s="14" t="s">
        <v>18</v>
      </c>
    </row>
    <row r="10" spans="1:8" x14ac:dyDescent="0.25">
      <c r="A10" s="25">
        <v>46134</v>
      </c>
      <c r="B10" s="18" t="s">
        <v>46</v>
      </c>
      <c r="C10" s="18" t="s">
        <v>50</v>
      </c>
      <c r="D10" s="18" t="s">
        <v>21</v>
      </c>
      <c r="E10" s="26">
        <v>3</v>
      </c>
      <c r="F10" s="19">
        <v>14.7</v>
      </c>
      <c r="G10" s="19">
        <f>E10*F10</f>
      </c>
      <c r="H10" s="18" t="s">
        <v>20</v>
      </c>
    </row>
    <row r="11" spans="1:8" x14ac:dyDescent="0.25">
      <c r="A11" s="23">
        <v>46042</v>
      </c>
      <c r="B11" s="14" t="s">
        <v>46</v>
      </c>
      <c r="C11" s="14" t="s">
        <v>47</v>
      </c>
      <c r="D11" s="14" t="s">
        <v>15</v>
      </c>
      <c r="E11" s="24">
        <v>1</v>
      </c>
      <c r="F11" s="15">
        <v>13.8</v>
      </c>
      <c r="G11" s="15">
        <f>E11*F11</f>
      </c>
      <c r="H11" s="14" t="s">
        <v>14</v>
      </c>
    </row>
    <row r="12" spans="1:8" x14ac:dyDescent="0.25">
      <c r="A12" s="25">
        <v>46196</v>
      </c>
      <c r="B12" s="18" t="s">
        <v>46</v>
      </c>
      <c r="C12" s="18" t="s">
        <v>48</v>
      </c>
      <c r="D12" s="18" t="s">
        <v>27</v>
      </c>
      <c r="E12" s="26">
        <v>2</v>
      </c>
      <c r="F12" s="19">
        <v>58.9</v>
      </c>
      <c r="G12" s="19">
        <f>E12*F12</f>
      </c>
      <c r="H12" s="18" t="s">
        <v>24</v>
      </c>
    </row>
    <row r="13" spans="1:8" x14ac:dyDescent="0.25">
      <c r="A13" s="23">
        <v>46204</v>
      </c>
      <c r="B13" s="14" t="s">
        <v>44</v>
      </c>
      <c r="C13" s="14" t="s">
        <v>45</v>
      </c>
      <c r="D13" s="14" t="s">
        <v>15</v>
      </c>
      <c r="E13" s="24">
        <v>4</v>
      </c>
      <c r="F13" s="15">
        <v>30.9</v>
      </c>
      <c r="G13" s="15">
        <f>E13*F13</f>
      </c>
      <c r="H13" s="14" t="s">
        <v>26</v>
      </c>
    </row>
    <row r="14" spans="1:8" x14ac:dyDescent="0.25">
      <c r="A14" s="25">
        <v>46077</v>
      </c>
      <c r="B14" s="18" t="s">
        <v>44</v>
      </c>
      <c r="C14" s="18" t="s">
        <v>51</v>
      </c>
      <c r="D14" s="18" t="s">
        <v>19</v>
      </c>
      <c r="E14" s="26">
        <v>5</v>
      </c>
      <c r="F14" s="19">
        <v>29.6</v>
      </c>
      <c r="G14" s="19">
        <f>E14*F14</f>
      </c>
      <c r="H14" s="18" t="s">
        <v>16</v>
      </c>
    </row>
    <row r="15" spans="1:8" x14ac:dyDescent="0.25">
      <c r="A15" s="23">
        <v>46137</v>
      </c>
      <c r="B15" s="14" t="s">
        <v>46</v>
      </c>
      <c r="C15" s="14" t="s">
        <v>49</v>
      </c>
      <c r="D15" s="14" t="s">
        <v>19</v>
      </c>
      <c r="E15" s="24">
        <v>5</v>
      </c>
      <c r="F15" s="15">
        <v>15.9</v>
      </c>
      <c r="G15" s="15">
        <f>E15*F15</f>
      </c>
      <c r="H15" s="14" t="s">
        <v>20</v>
      </c>
    </row>
    <row r="16" spans="1:8" x14ac:dyDescent="0.25">
      <c r="A16" s="25">
        <v>46158</v>
      </c>
      <c r="B16" s="18" t="s">
        <v>44</v>
      </c>
      <c r="C16" s="18" t="s">
        <v>45</v>
      </c>
      <c r="D16" s="18" t="s">
        <v>27</v>
      </c>
      <c r="E16" s="26">
        <v>4</v>
      </c>
      <c r="F16" s="19">
        <v>49.6</v>
      </c>
      <c r="G16" s="19">
        <f>E16*F16</f>
      </c>
      <c r="H16" s="18" t="s">
        <v>22</v>
      </c>
    </row>
    <row r="17" spans="1:8" x14ac:dyDescent="0.25">
      <c r="A17" s="23">
        <v>46062</v>
      </c>
      <c r="B17" s="14" t="s">
        <v>46</v>
      </c>
      <c r="C17" s="14" t="s">
        <v>47</v>
      </c>
      <c r="D17" s="14" t="s">
        <v>17</v>
      </c>
      <c r="E17" s="24">
        <v>2</v>
      </c>
      <c r="F17" s="15">
        <v>54.9</v>
      </c>
      <c r="G17" s="15">
        <f>E17*F17</f>
      </c>
      <c r="H17" s="14" t="s">
        <v>16</v>
      </c>
    </row>
    <row r="18" spans="1:8" x14ac:dyDescent="0.25">
      <c r="A18" s="25">
        <v>46229</v>
      </c>
      <c r="B18" s="18" t="s">
        <v>44</v>
      </c>
      <c r="C18" s="18" t="s">
        <v>47</v>
      </c>
      <c r="D18" s="18" t="s">
        <v>19</v>
      </c>
      <c r="E18" s="26">
        <v>6</v>
      </c>
      <c r="F18" s="19">
        <v>33.4</v>
      </c>
      <c r="G18" s="19">
        <f>E18*F18</f>
      </c>
      <c r="H18" s="18" t="s">
        <v>26</v>
      </c>
    </row>
    <row r="19" spans="1:8" x14ac:dyDescent="0.25">
      <c r="A19" s="23">
        <v>46148</v>
      </c>
      <c r="B19" s="14" t="s">
        <v>44</v>
      </c>
      <c r="C19" s="14" t="s">
        <v>52</v>
      </c>
      <c r="D19" s="14" t="s">
        <v>17</v>
      </c>
      <c r="E19" s="24">
        <v>6</v>
      </c>
      <c r="F19" s="15">
        <v>53.7</v>
      </c>
      <c r="G19" s="15">
        <f>E19*F19</f>
      </c>
      <c r="H19" s="14" t="s">
        <v>22</v>
      </c>
    </row>
    <row r="20" spans="1:8" x14ac:dyDescent="0.25">
      <c r="A20" s="25">
        <v>46219</v>
      </c>
      <c r="B20" s="18" t="s">
        <v>46</v>
      </c>
      <c r="C20" s="18" t="s">
        <v>47</v>
      </c>
      <c r="D20" s="18" t="s">
        <v>23</v>
      </c>
      <c r="E20" s="26">
        <v>2</v>
      </c>
      <c r="F20" s="19">
        <v>55.8</v>
      </c>
      <c r="G20" s="19">
        <f>E20*F20</f>
      </c>
      <c r="H20" s="18" t="s">
        <v>26</v>
      </c>
    </row>
    <row r="21" spans="1:8" x14ac:dyDescent="0.25">
      <c r="A21" s="23">
        <v>46199</v>
      </c>
      <c r="B21" s="14" t="s">
        <v>44</v>
      </c>
      <c r="C21" s="14" t="s">
        <v>53</v>
      </c>
      <c r="D21" s="14" t="s">
        <v>21</v>
      </c>
      <c r="E21" s="24">
        <v>3</v>
      </c>
      <c r="F21" s="15">
        <v>26</v>
      </c>
      <c r="G21" s="15">
        <f>E21*F21</f>
      </c>
      <c r="H21" s="14" t="s">
        <v>24</v>
      </c>
    </row>
    <row r="22" spans="1:8" x14ac:dyDescent="0.25">
      <c r="A22" s="25">
        <v>46129</v>
      </c>
      <c r="B22" s="18" t="s">
        <v>46</v>
      </c>
      <c r="C22" s="18" t="s">
        <v>52</v>
      </c>
      <c r="D22" s="18" t="s">
        <v>21</v>
      </c>
      <c r="E22" s="26">
        <v>3</v>
      </c>
      <c r="F22" s="19">
        <v>50.8</v>
      </c>
      <c r="G22" s="19">
        <f>E22*F22</f>
      </c>
      <c r="H22" s="18" t="s">
        <v>20</v>
      </c>
    </row>
    <row r="23" spans="1:8" x14ac:dyDescent="0.25">
      <c r="A23" s="23">
        <v>46089</v>
      </c>
      <c r="B23" s="14" t="s">
        <v>46</v>
      </c>
      <c r="C23" s="14" t="s">
        <v>53</v>
      </c>
      <c r="D23" s="14" t="s">
        <v>27</v>
      </c>
      <c r="E23" s="24">
        <v>5</v>
      </c>
      <c r="F23" s="15">
        <v>39.3</v>
      </c>
      <c r="G23" s="15">
        <f>E23*F23</f>
      </c>
      <c r="H23" s="14" t="s">
        <v>18</v>
      </c>
    </row>
    <row r="24" spans="1:8" x14ac:dyDescent="0.25">
      <c r="A24" s="25">
        <v>46087</v>
      </c>
      <c r="B24" s="18" t="s">
        <v>46</v>
      </c>
      <c r="C24" s="18" t="s">
        <v>49</v>
      </c>
      <c r="D24" s="18" t="s">
        <v>25</v>
      </c>
      <c r="E24" s="26">
        <v>6</v>
      </c>
      <c r="F24" s="19">
        <v>40.1</v>
      </c>
      <c r="G24" s="19">
        <f>E24*F24</f>
      </c>
      <c r="H24" s="18" t="s">
        <v>18</v>
      </c>
    </row>
    <row r="25" spans="1:8" x14ac:dyDescent="0.25">
      <c r="A25" s="23">
        <v>46159</v>
      </c>
      <c r="B25" s="14" t="s">
        <v>46</v>
      </c>
      <c r="C25" s="14" t="s">
        <v>52</v>
      </c>
      <c r="D25" s="14" t="s">
        <v>21</v>
      </c>
      <c r="E25" s="24">
        <v>1</v>
      </c>
      <c r="F25" s="15">
        <v>56.6</v>
      </c>
      <c r="G25" s="15">
        <f>E25*F25</f>
      </c>
      <c r="H25" s="14" t="s">
        <v>22</v>
      </c>
    </row>
    <row r="26" spans="1:8" x14ac:dyDescent="0.25">
      <c r="A26" s="25">
        <v>46094</v>
      </c>
      <c r="B26" s="18" t="s">
        <v>44</v>
      </c>
      <c r="C26" s="18" t="s">
        <v>48</v>
      </c>
      <c r="D26" s="18" t="s">
        <v>19</v>
      </c>
      <c r="E26" s="26">
        <v>6</v>
      </c>
      <c r="F26" s="19">
        <v>53.1</v>
      </c>
      <c r="G26" s="19">
        <f>E26*F26</f>
      </c>
      <c r="H26" s="18" t="s">
        <v>18</v>
      </c>
    </row>
    <row r="27" spans="1:8" x14ac:dyDescent="0.25">
      <c r="A27" s="23">
        <v>46183</v>
      </c>
      <c r="B27" s="14" t="s">
        <v>46</v>
      </c>
      <c r="C27" s="14" t="s">
        <v>47</v>
      </c>
      <c r="D27" s="14" t="s">
        <v>23</v>
      </c>
      <c r="E27" s="24">
        <v>6</v>
      </c>
      <c r="F27" s="15">
        <v>32.5</v>
      </c>
      <c r="G27" s="15">
        <f>E27*F27</f>
      </c>
      <c r="H27" s="14" t="s">
        <v>24</v>
      </c>
    </row>
    <row r="28" spans="1:8" x14ac:dyDescent="0.25">
      <c r="A28" s="25">
        <v>46114</v>
      </c>
      <c r="B28" s="18" t="s">
        <v>46</v>
      </c>
      <c r="C28" s="18" t="s">
        <v>49</v>
      </c>
      <c r="D28" s="18" t="s">
        <v>17</v>
      </c>
      <c r="E28" s="26">
        <v>1</v>
      </c>
      <c r="F28" s="19">
        <v>39.1</v>
      </c>
      <c r="G28" s="19">
        <f>E28*F28</f>
      </c>
      <c r="H28" s="18" t="s">
        <v>20</v>
      </c>
    </row>
    <row r="29" spans="1:8" x14ac:dyDescent="0.25">
      <c r="A29" s="23">
        <v>46107</v>
      </c>
      <c r="B29" s="14" t="s">
        <v>46</v>
      </c>
      <c r="C29" s="14" t="s">
        <v>52</v>
      </c>
      <c r="D29" s="14" t="s">
        <v>25</v>
      </c>
      <c r="E29" s="24">
        <v>3</v>
      </c>
      <c r="F29" s="15">
        <v>12.1</v>
      </c>
      <c r="G29" s="15">
        <f>E29*F29</f>
      </c>
      <c r="H29" s="14" t="s">
        <v>18</v>
      </c>
    </row>
    <row r="30" spans="1:8" x14ac:dyDescent="0.25">
      <c r="A30" s="25">
        <v>46144</v>
      </c>
      <c r="B30" s="18" t="s">
        <v>44</v>
      </c>
      <c r="C30" s="18" t="s">
        <v>48</v>
      </c>
      <c r="D30" s="18" t="s">
        <v>21</v>
      </c>
      <c r="E30" s="26">
        <v>5</v>
      </c>
      <c r="F30" s="19">
        <v>13.2</v>
      </c>
      <c r="G30" s="19">
        <f>E30*F30</f>
      </c>
      <c r="H30" s="18" t="s">
        <v>22</v>
      </c>
    </row>
    <row r="31" spans="1:8" x14ac:dyDescent="0.25">
      <c r="A31" s="23">
        <v>46036</v>
      </c>
      <c r="B31" s="14" t="s">
        <v>44</v>
      </c>
      <c r="C31" s="14" t="s">
        <v>47</v>
      </c>
      <c r="D31" s="14" t="s">
        <v>23</v>
      </c>
      <c r="E31" s="24">
        <v>2</v>
      </c>
      <c r="F31" s="15">
        <v>47</v>
      </c>
      <c r="G31" s="15">
        <f>E31*F31</f>
      </c>
      <c r="H31" s="14" t="s">
        <v>14</v>
      </c>
    </row>
    <row r="32" spans="1:8" x14ac:dyDescent="0.25">
      <c r="A32" s="25">
        <v>46196</v>
      </c>
      <c r="B32" s="18" t="s">
        <v>46</v>
      </c>
      <c r="C32" s="18" t="s">
        <v>49</v>
      </c>
      <c r="D32" s="18" t="s">
        <v>17</v>
      </c>
      <c r="E32" s="26">
        <v>3</v>
      </c>
      <c r="F32" s="19">
        <v>34.7</v>
      </c>
      <c r="G32" s="19">
        <f>E32*F32</f>
      </c>
      <c r="H32" s="18" t="s">
        <v>24</v>
      </c>
    </row>
    <row r="33" spans="1:8" x14ac:dyDescent="0.25">
      <c r="A33" s="23">
        <v>46060</v>
      </c>
      <c r="B33" s="14" t="s">
        <v>44</v>
      </c>
      <c r="C33" s="14" t="s">
        <v>45</v>
      </c>
      <c r="D33" s="14" t="s">
        <v>17</v>
      </c>
      <c r="E33" s="24">
        <v>6</v>
      </c>
      <c r="F33" s="15">
        <v>28.2</v>
      </c>
      <c r="G33" s="15">
        <f>E33*F33</f>
      </c>
      <c r="H33" s="14" t="s">
        <v>16</v>
      </c>
    </row>
    <row r="34" spans="1:8" x14ac:dyDescent="0.25">
      <c r="A34" s="25">
        <v>46064</v>
      </c>
      <c r="B34" s="18" t="s">
        <v>46</v>
      </c>
      <c r="C34" s="18" t="s">
        <v>53</v>
      </c>
      <c r="D34" s="18" t="s">
        <v>27</v>
      </c>
      <c r="E34" s="26">
        <v>2</v>
      </c>
      <c r="F34" s="19">
        <v>12.8</v>
      </c>
      <c r="G34" s="19">
        <f>E34*F34</f>
      </c>
      <c r="H34" s="18" t="s">
        <v>16</v>
      </c>
    </row>
  </sheetData>
  <autoFilter ref="A4:H34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Ventas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