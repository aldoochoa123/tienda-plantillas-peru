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<sst xmlns="http://schemas.openxmlformats.org/spreadsheetml/2006/main" count="129" uniqueCount="91">
  <si>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AGENCIA DE PUBLICIDAD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</si>
  <si>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</si>
  <si>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</si>
  <si>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</si>
  <si>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</si>
  <si>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</si>
  <si>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</si>
  <si>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</si>
  <si>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</si>
  <si>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</si>
  <si>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</si>
  <si>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</si>
  <si>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Diseño de logo</t>
  </si>
  <si>
    <t>08:30</t>
  </si>
  <si>
    <t>B001-10001</t>
  </si>
  <si>
    <t>Yape</t>
  </si>
  <si>
    <t>09:15</t>
  </si>
  <si>
    <t>B001-10002</t>
  </si>
  <si>
    <t>Plin</t>
  </si>
  <si>
    <t>Página web</t>
  </si>
  <si>
    <t>09:45</t>
  </si>
  <si>
    <t>B001-10003</t>
  </si>
  <si>
    <t>Fotografía de producto</t>
  </si>
  <si>
    <t>10:20</t>
  </si>
  <si>
    <t>B001-10004</t>
  </si>
  <si>
    <t>Tarjeta</t>
  </si>
  <si>
    <t>Manejo de redes</t>
  </si>
  <si>
    <t>11:00</t>
  </si>
  <si>
    <t>B001-10005</t>
  </si>
  <si>
    <t>11:40</t>
  </si>
  <si>
    <t>B001-10006</t>
  </si>
  <si>
    <t>Publicidad Meta</t>
  </si>
  <si>
    <t>12:15</t>
  </si>
  <si>
    <t>B001-10007</t>
  </si>
  <si>
    <t>Video promocional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</si>
  <si>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</si>
  <si>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</si>
  <si>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</si>
  <si>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</si>
  <si>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</si>
  <si>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</si>
  <si>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</si>
  <si>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</si>
  <si>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</si>
  <si>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</si>
  <si>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</si>
  <si>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</si>
  <si>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</si>
  <si>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</si>
  <si>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</si>
  <si>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Publicidad Google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</si>
  <si>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</si>
  <si>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</si>
  <si>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</si>
  <si>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</si>
  <si>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</si>
  <si>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</si>
  <si>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</si>
  <si>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</si>
  <si>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</si>
  <si>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</si>
  <si>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Campaña publicitaria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</si>
  <si>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</si>
  <si>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</si>
  <si>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</si>
  <si>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</si>
  <si>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</si>
  <si>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</si>
  <si>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</si>
  <si>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</si>
  <si>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</si>
  <si>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</si>
  <si>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</si>
  <si>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</si>
  <si>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</si>
  <si>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</si>
  <si>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</si>
  <si>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</si>
  <si>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</si>
  <si>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AGENCIA DE PUBLICIDAD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</si>
  <si>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</si>
  <si>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</si>
  <si>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</si>
  <si>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</si>
  <si>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</si>
  <si>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</si>
  <si>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</si>
  <si>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</si>
  <si>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</si>
  <si>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</si>
  <si>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Agencia de Publicidad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</si>
</sst>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47.14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21.16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42.14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5.98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42.12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26</v>
      </c>
      <c r="E10" s="7">
        <v>29.49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47.92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23.06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31</v>
      </c>
      <c r="E13" s="5">
        <v>51.94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19</v>
      </c>
      <c r="E14" s="7">
        <v>35.67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19</v>
      </c>
      <c r="E15" s="5">
        <v>4.39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22</v>
      </c>
      <c r="E16" s="7">
        <v>36.12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18</v>
      </c>
      <c r="D17" s="4" t="s">
        <v>26</v>
      </c>
      <c r="E17" s="5">
        <v>49.24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31</v>
      </c>
      <c r="E18" s="7">
        <v>39.27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50</v>
      </c>
      <c r="E19" s="5">
        <v>36.04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31</v>
      </c>
      <c r="E20" s="7">
        <v>34.6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34</v>
      </c>
      <c r="E21" s="5">
        <v>21.51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31</v>
      </c>
      <c r="E22" s="7">
        <v>49.04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34</v>
      </c>
      <c r="E23" s="5">
        <v>48.99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61</v>
      </c>
      <c r="E24" s="7">
        <v>6.39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3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15</v>
      </c>
      <c r="C8" s="7">
        <f>20*B8</f>
      </c>
    </row>
    <row r="9" spans="1:3" x14ac:dyDescent="0.25">
      <c r="A9" s="4" t="s">
        <v>71</v>
      </c>
      <c r="B9" s="8">
        <v>12</v>
      </c>
      <c r="C9" s="5">
        <f>10*B9</f>
      </c>
    </row>
    <row r="10" spans="1:3" x14ac:dyDescent="0.25">
      <c r="A10" s="6" t="s">
        <v>72</v>
      </c>
      <c r="B10" s="9">
        <v>9</v>
      </c>
      <c r="C10" s="7">
        <f>5*B10</f>
      </c>
    </row>
    <row r="11" spans="1:3" x14ac:dyDescent="0.25">
      <c r="A11" s="4" t="s">
        <v>73</v>
      </c>
      <c r="B11" s="8">
        <v>9</v>
      </c>
      <c r="C11" s="5">
        <f>2*B11</f>
      </c>
    </row>
    <row r="12" spans="1:3" x14ac:dyDescent="0.25">
      <c r="A12" s="6" t="s">
        <v>74</v>
      </c>
      <c r="B12" s="9">
        <v>2</v>
      </c>
      <c r="C12" s="7">
        <f>1*B12</f>
      </c>
    </row>
    <row r="13" spans="1:3" x14ac:dyDescent="0.25">
      <c r="A13" s="4" t="s">
        <v>75</v>
      </c>
      <c r="B13" s="8">
        <v>17</v>
      </c>
      <c r="C13" s="5">
        <f>0.5*B13</f>
      </c>
    </row>
    <row r="14" spans="1:3" x14ac:dyDescent="0.25">
      <c r="A14" s="6" t="s">
        <v>76</v>
      </c>
      <c r="B14" s="9">
        <v>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{3A67CB1F-A0BE-4946-B0C9-777020E42485}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67CB1F-A0BE-4946-B0C9-777020E42485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