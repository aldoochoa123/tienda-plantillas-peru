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<sst xmlns="http://schemas.openxmlformats.org/spreadsheetml/2006/main" count="129" uniqueCount="91">
  <si>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ESTUDIO FOTOGRÁFICO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</si>
  <si>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</si>
  <si>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</si>
  <si>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</si>
  <si>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</si>
  <si>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</si>
  <si>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</si>
  <si>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</si>
  <si>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</si>
  <si>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</si>
  <si>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</si>
  <si>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</si>
  <si>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Cumpleaños infantil</t>
  </si>
  <si>
    <t>08:30</t>
  </si>
  <si>
    <t>B001-10001</t>
  </si>
  <si>
    <t>Yape</t>
  </si>
  <si>
    <t>Graduación</t>
  </si>
  <si>
    <t>09:15</t>
  </si>
  <si>
    <t>B001-10002</t>
  </si>
  <si>
    <t>Plin</t>
  </si>
  <si>
    <t>Sesión familiar</t>
  </si>
  <si>
    <t>09:45</t>
  </si>
  <si>
    <t>B001-10003</t>
  </si>
  <si>
    <t>Sesión individual</t>
  </si>
  <si>
    <t>10:20</t>
  </si>
  <si>
    <t>B001-10004</t>
  </si>
  <si>
    <t>Tarjeta</t>
  </si>
  <si>
    <t>Maternidad</t>
  </si>
  <si>
    <t>11:00</t>
  </si>
  <si>
    <t>B001-10005</t>
  </si>
  <si>
    <t>Pre boda</t>
  </si>
  <si>
    <t>11:40</t>
  </si>
  <si>
    <t>B001-10006</t>
  </si>
  <si>
    <t>12:15</t>
  </si>
  <si>
    <t>B001-10007</t>
  </si>
  <si>
    <t>12:50</t>
  </si>
  <si>
    <t>B001-10008</t>
  </si>
  <si>
    <t>Transferencia</t>
  </si>
  <si>
    <t>Foto de producto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</si>
  <si>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</si>
  <si>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</si>
  <si>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</si>
  <si>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</si>
  <si>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</si>
  <si>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</si>
  <si>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</si>
  <si>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</si>
  <si>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Book personal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</si>
  <si>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</si>
  <si>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</si>
  <si>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</si>
  <si>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</si>
  <si>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</si>
  <si>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</si>
  <si>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</si>
  <si>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</si>
  <si>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</si>
  <si>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</si>
  <si>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</si>
  <si>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</si>
  <si>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</si>
  <si>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</si>
  <si>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</si>
  <si>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</si>
  <si>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</si>
  <si>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</si>
  <si>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</si>
  <si>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</si>
  <si>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</si>
  <si>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</si>
  <si>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</si>
  <si>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</si>
  <si>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</si>
  <si>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</si>
  <si>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</si>
  <si>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</si>
  <si>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</si>
  <si>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</si>
  <si>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</si>
  <si>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ESTUDIO FOTOGRÁFICO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</si>
  <si>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</si>
  <si>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</si>
  <si>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</si>
  <si>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</si>
  <si>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</si>
  <si>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</si>
  <si>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</si>
  <si>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</si>
  <si>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</si>
  <si>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</si>
  <si>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Estudio Fotográfico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</si>
</sst>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23.88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33.94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28.88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56.18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27</v>
      </c>
      <c r="E9" s="5">
        <v>15.65</v>
      </c>
      <c r="F9" s="5">
        <f>ROUND(E9/1.18*0.18,2)</f>
      </c>
      <c r="G9" s="5">
        <f>E9</f>
      </c>
    </row>
    <row r="10" spans="1:7" x14ac:dyDescent="0.25">
      <c r="A10" s="6" t="s">
        <v>28</v>
      </c>
      <c r="B10" s="6" t="s">
        <v>29</v>
      </c>
      <c r="C10" s="6" t="s">
        <v>15</v>
      </c>
      <c r="D10" s="6" t="s">
        <v>30</v>
      </c>
      <c r="E10" s="7">
        <v>34.63</v>
      </c>
      <c r="F10" s="7">
        <f>ROUND(E10/1.18*0.18,2)</f>
      </c>
      <c r="G10" s="7">
        <f>E10</f>
      </c>
    </row>
    <row r="11" spans="1:7" x14ac:dyDescent="0.25">
      <c r="A11" s="4" t="s">
        <v>31</v>
      </c>
      <c r="B11" s="4" t="s">
        <v>32</v>
      </c>
      <c r="C11" s="4" t="s">
        <v>11</v>
      </c>
      <c r="D11" s="4" t="s">
        <v>12</v>
      </c>
      <c r="E11" s="5">
        <v>6.93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12</v>
      </c>
      <c r="E12" s="7">
        <v>11.13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38</v>
      </c>
      <c r="E13" s="5">
        <v>31.92</v>
      </c>
      <c r="F13" s="5">
        <f>ROUND(E13/1.18*0.18,2)</f>
      </c>
      <c r="G13" s="5">
        <f>E13</f>
      </c>
    </row>
    <row r="14" spans="1:7" x14ac:dyDescent="0.25">
      <c r="A14" s="6" t="s">
        <v>39</v>
      </c>
      <c r="B14" s="6" t="s">
        <v>40</v>
      </c>
      <c r="C14" s="6" t="s">
        <v>15</v>
      </c>
      <c r="D14" s="6" t="s">
        <v>23</v>
      </c>
      <c r="E14" s="7">
        <v>21.33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20</v>
      </c>
      <c r="E15" s="5">
        <v>35.58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23</v>
      </c>
      <c r="E16" s="7">
        <v>8.25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47</v>
      </c>
      <c r="E17" s="5">
        <v>37.42</v>
      </c>
      <c r="F17" s="5">
        <f>ROUND(E17/1.18*0.18,2)</f>
      </c>
      <c r="G17" s="5">
        <f>E17</f>
      </c>
    </row>
    <row r="18" spans="1:7" x14ac:dyDescent="0.25">
      <c r="A18" s="6" t="s">
        <v>48</v>
      </c>
      <c r="B18" s="6" t="s">
        <v>49</v>
      </c>
      <c r="C18" s="6" t="s">
        <v>11</v>
      </c>
      <c r="D18" s="6" t="s">
        <v>16</v>
      </c>
      <c r="E18" s="7">
        <v>41.78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30</v>
      </c>
      <c r="E19" s="5">
        <v>36.06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38</v>
      </c>
      <c r="E20" s="7">
        <v>52.21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30</v>
      </c>
      <c r="E21" s="5">
        <v>41.59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30</v>
      </c>
      <c r="E22" s="7">
        <v>34.45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47</v>
      </c>
      <c r="E23" s="5">
        <v>13.12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20</v>
      </c>
      <c r="E24" s="7">
        <v>3.3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3</v>
      </c>
      <c r="C5" s="5">
        <f>200*B5</f>
      </c>
    </row>
    <row r="6" spans="1:3" x14ac:dyDescent="0.25">
      <c r="A6" s="6" t="s">
        <v>68</v>
      </c>
      <c r="B6" s="9">
        <v>0</v>
      </c>
      <c r="C6" s="7">
        <f>100*B6</f>
      </c>
    </row>
    <row r="7" spans="1:3" x14ac:dyDescent="0.25">
      <c r="A7" s="4" t="s">
        <v>69</v>
      </c>
      <c r="B7" s="8">
        <v>3</v>
      </c>
      <c r="C7" s="5">
        <f>50*B7</f>
      </c>
    </row>
    <row r="8" spans="1:3" x14ac:dyDescent="0.25">
      <c r="A8" s="6" t="s">
        <v>70</v>
      </c>
      <c r="B8" s="9">
        <v>12</v>
      </c>
      <c r="C8" s="7">
        <f>20*B8</f>
      </c>
    </row>
    <row r="9" spans="1:3" x14ac:dyDescent="0.25">
      <c r="A9" s="4" t="s">
        <v>71</v>
      </c>
      <c r="B9" s="8">
        <v>17</v>
      </c>
      <c r="C9" s="5">
        <f>10*B9</f>
      </c>
    </row>
    <row r="10" spans="1:3" x14ac:dyDescent="0.25">
      <c r="A10" s="6" t="s">
        <v>72</v>
      </c>
      <c r="B10" s="9">
        <v>2</v>
      </c>
      <c r="C10" s="7">
        <f>5*B10</f>
      </c>
    </row>
    <row r="11" spans="1:3" x14ac:dyDescent="0.25">
      <c r="A11" s="4" t="s">
        <v>73</v>
      </c>
      <c r="B11" s="8">
        <v>9</v>
      </c>
      <c r="C11" s="5">
        <f>2*B11</f>
      </c>
    </row>
    <row r="12" spans="1:3" x14ac:dyDescent="0.25">
      <c r="A12" s="6" t="s">
        <v>74</v>
      </c>
      <c r="B12" s="9">
        <v>10</v>
      </c>
      <c r="C12" s="7">
        <f>1*B12</f>
      </c>
    </row>
    <row r="13" spans="1:3" x14ac:dyDescent="0.25">
      <c r="A13" s="4" t="s">
        <v>75</v>
      </c>
      <c r="B13" s="8">
        <v>6</v>
      </c>
      <c r="C13" s="5">
        <f>0.5*B13</f>
      </c>
    </row>
    <row r="14" spans="1:3" x14ac:dyDescent="0.25">
      <c r="A14" s="6" t="s">
        <v>76</v>
      </c>
      <c r="B14" s="9">
        <v>11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{37BEA75A-C7A8-4248-AB16-3D5E4447954A}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BEA75A-C7A8-4248-AB16-3D5E4447954A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