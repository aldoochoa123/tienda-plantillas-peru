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<sst xmlns="http://schemas.openxmlformats.org/spreadsheetml/2006/main" count="129" uniqueCount="90">
  <si>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SALÓN DE BELLEZA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</si>
  <si>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</si>
  <si>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</si>
  <si>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</si>
  <si>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</si>
  <si>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</si>
  <si>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</si>
  <si>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</si>
  <si>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</si>
  <si>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</si>
  <si>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</si>
  <si>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</si>
  <si>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Alisado</t>
  </si>
  <si>
    <t>08:30</t>
  </si>
  <si>
    <t>B001-10001</t>
  </si>
  <si>
    <t>Yape</t>
  </si>
  <si>
    <t>09:15</t>
  </si>
  <si>
    <t>B001-10002</t>
  </si>
  <si>
    <t>Plin</t>
  </si>
  <si>
    <t>09:45</t>
  </si>
  <si>
    <t>B001-10003</t>
  </si>
  <si>
    <t>Maquillaje de evento</t>
  </si>
  <si>
    <t>10:20</t>
  </si>
  <si>
    <t>B001-10004</t>
  </si>
  <si>
    <t>Tarjeta</t>
  </si>
  <si>
    <t>Tratamiento capilar</t>
  </si>
  <si>
    <t>11:00</t>
  </si>
  <si>
    <t>B001-10005</t>
  </si>
  <si>
    <t>Tinte completo</t>
  </si>
  <si>
    <t>11:40</t>
  </si>
  <si>
    <t>B001-10006</t>
  </si>
  <si>
    <t>12:15</t>
  </si>
  <si>
    <t>B001-10007</t>
  </si>
  <si>
    <t>Peinado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</si>
  <si>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</si>
  <si>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</si>
  <si>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</si>
  <si>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</si>
  <si>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</si>
  <si>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</si>
  <si>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</si>
  <si>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</si>
  <si>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</si>
  <si>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</si>
  <si>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</si>
  <si>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Corte de cabello</t>
  </si>
  <si>
    <t>16:00</t>
  </si>
  <si>
    <t>B001-10013</t>
  </si>
  <si>
    <t>16:45</t>
  </si>
  <si>
    <t>B001-10014</t>
  </si>
  <si>
    <t>Uñas esmaltadas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</si>
  <si>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</si>
  <si>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</si>
  <si>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</si>
  <si>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</si>
  <si>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</si>
  <si>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</si>
  <si>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</si>
  <si>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</si>
  <si>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</si>
  <si>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</si>
  <si>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</si>
  <si>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</si>
  <si>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</si>
  <si>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</si>
  <si>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</si>
  <si>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</si>
  <si>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</si>
  <si>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</si>
  <si>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</si>
  <si>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</si>
  <si>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</si>
  <si>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</si>
  <si>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</si>
  <si>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</si>
  <si>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</si>
  <si>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</si>
  <si>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</si>
  <si>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SALÓN DE BELLEZA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</si>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</sst>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15.47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17.54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12</v>
      </c>
      <c r="E7" s="5">
        <v>42.38</v>
      </c>
      <c r="F7" s="5">
        <f>ROUND(E7/1.18*0.18,2)</f>
      </c>
      <c r="G7" s="5">
        <f>E7</f>
      </c>
    </row>
    <row r="8" spans="1:7" x14ac:dyDescent="0.25">
      <c r="A8" s="6" t="s">
        <v>19</v>
      </c>
      <c r="B8" s="6" t="s">
        <v>20</v>
      </c>
      <c r="C8" s="6" t="s">
        <v>11</v>
      </c>
      <c r="D8" s="6" t="s">
        <v>21</v>
      </c>
      <c r="E8" s="7">
        <v>30.2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27.08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14.8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25</v>
      </c>
      <c r="E11" s="5">
        <v>52.68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11.41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28</v>
      </c>
      <c r="E13" s="5">
        <v>30.28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21</v>
      </c>
      <c r="E14" s="7">
        <v>33.15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25</v>
      </c>
      <c r="E15" s="5">
        <v>8.21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25</v>
      </c>
      <c r="E16" s="7">
        <v>38.76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18</v>
      </c>
      <c r="D17" s="4" t="s">
        <v>45</v>
      </c>
      <c r="E17" s="5">
        <v>8.93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28</v>
      </c>
      <c r="E18" s="7">
        <v>17.8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24</v>
      </c>
      <c r="D19" s="4" t="s">
        <v>50</v>
      </c>
      <c r="E19" s="5">
        <v>20.65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45</v>
      </c>
      <c r="E20" s="7">
        <v>5.18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33</v>
      </c>
      <c r="E21" s="5">
        <v>53.14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55.83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45</v>
      </c>
      <c r="E23" s="5">
        <v>24.9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50</v>
      </c>
      <c r="E24" s="7">
        <v>35.29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1</v>
      </c>
      <c r="C7" s="5">
        <f>50*B7</f>
      </c>
    </row>
    <row r="8" spans="1:3" x14ac:dyDescent="0.25">
      <c r="A8" s="6" t="s">
        <v>69</v>
      </c>
      <c r="B8" s="9">
        <v>19</v>
      </c>
      <c r="C8" s="7">
        <f>20*B8</f>
      </c>
    </row>
    <row r="9" spans="1:3" x14ac:dyDescent="0.25">
      <c r="A9" s="4" t="s">
        <v>70</v>
      </c>
      <c r="B9" s="8">
        <v>2</v>
      </c>
      <c r="C9" s="5">
        <f>10*B9</f>
      </c>
    </row>
    <row r="10" spans="1:3" x14ac:dyDescent="0.25">
      <c r="A10" s="6" t="s">
        <v>71</v>
      </c>
      <c r="B10" s="9">
        <v>2</v>
      </c>
      <c r="C10" s="7">
        <f>5*B10</f>
      </c>
    </row>
    <row r="11" spans="1:3" x14ac:dyDescent="0.25">
      <c r="A11" s="4" t="s">
        <v>72</v>
      </c>
      <c r="B11" s="8">
        <v>18</v>
      </c>
      <c r="C11" s="5">
        <f>2*B11</f>
      </c>
    </row>
    <row r="12" spans="1:3" x14ac:dyDescent="0.25">
      <c r="A12" s="6" t="s">
        <v>73</v>
      </c>
      <c r="B12" s="9">
        <v>16</v>
      </c>
      <c r="C12" s="7">
        <f>1*B12</f>
      </c>
    </row>
    <row r="13" spans="1:3" x14ac:dyDescent="0.25">
      <c r="A13" s="4" t="s">
        <v>74</v>
      </c>
      <c r="B13" s="8">
        <v>18</v>
      </c>
      <c r="C13" s="5">
        <f>0.5*B13</f>
      </c>
    </row>
    <row r="14" spans="1:3" x14ac:dyDescent="0.25">
      <c r="A14" s="6" t="s">
        <v>75</v>
      </c>
      <c r="B14" s="9">
        <v>6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{6963494F-B416-467D-ACCE-FC8CCE14940E}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63494F-B416-467D-ACCE-FC8CCE14940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