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<sst xmlns="http://schemas.openxmlformats.org/spreadsheetml/2006/main" count="129" uniqueCount="91">
  <si>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E-COMMERCE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</si>
  <si>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</si>
  <si>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</si>
  <si>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</si>
  <si>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</si>
  <si>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</si>
  <si>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</si>
  <si>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</si>
  <si>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</si>
  <si>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</si>
  <si>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</si>
  <si>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</si>
  <si>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Ventas por web</t>
  </si>
  <si>
    <t>08:30</t>
  </si>
  <si>
    <t>B001-10001</t>
  </si>
  <si>
    <t>Yape</t>
  </si>
  <si>
    <t>Ventas por catálogo</t>
  </si>
  <si>
    <t>09:15</t>
  </si>
  <si>
    <t>B001-10002</t>
  </si>
  <si>
    <t>Plin</t>
  </si>
  <si>
    <t>Ventas por Instagram</t>
  </si>
  <si>
    <t>09:45</t>
  </si>
  <si>
    <t>B001-10003</t>
  </si>
  <si>
    <t>Dropshipping</t>
  </si>
  <si>
    <t>10:20</t>
  </si>
  <si>
    <t>B001-10004</t>
  </si>
  <si>
    <t>Tarjeta</t>
  </si>
  <si>
    <t>11:00</t>
  </si>
  <si>
    <t>B001-10005</t>
  </si>
  <si>
    <t>Ventas corporativas</t>
  </si>
  <si>
    <t>11:40</t>
  </si>
  <si>
    <t>B001-10006</t>
  </si>
  <si>
    <t>Ventas por WhatsApp</t>
  </si>
  <si>
    <t>12:15</t>
  </si>
  <si>
    <t>B001-10007</t>
  </si>
  <si>
    <t>12:50</t>
  </si>
  <si>
    <t>B001-10008</t>
  </si>
  <si>
    <t>Transferencia</t>
  </si>
  <si>
    <t>13:30</t>
  </si>
  <si>
    <t>B001-10009</t>
  </si>
  <si>
    <t>Ventas por TikTok</t>
  </si>
  <si>
    <t>14:10</t>
  </si>
  <si>
    <t>B001-10010</t>
  </si>
  <si>
    <t>15:00</t>
  </si>
  <si>
    <t>B001-10011</t>
  </si>
  <si>
    <t>Ventas por marketplace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</si>
  <si>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</si>
  <si>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</si>
  <si>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</si>
  <si>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</si>
  <si>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</si>
  <si>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</si>
  <si>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</si>
  <si>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</si>
  <si>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</si>
  <si>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</si>
  <si>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</si>
  <si>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</si>
  <si>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</si>
  <si>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</si>
  <si>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</si>
  <si>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</si>
  <si>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</si>
  <si>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</si>
  <si>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</si>
  <si>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</si>
  <si>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</si>
  <si>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</si>
  <si>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</si>
  <si>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</si>
  <si>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</si>
  <si>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</si>
  <si>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</si>
  <si>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</si>
  <si>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</si>
  <si>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</si>
  <si>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</si>
  <si>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</si>
  <si>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</si>
  <si>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E-COMMERCE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</si>
  <si>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</si>
  <si>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</si>
  <si>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</si>
  <si>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</si>
  <si>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</si>
  <si>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</si>
  <si>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</si>
  <si>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</si>
  <si>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</si>
  <si>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</si>
  <si>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E-commerce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</si>
</sst>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54.29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37.82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56.83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37.62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20</v>
      </c>
      <c r="E9" s="5">
        <v>46.57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9.39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25.16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23</v>
      </c>
      <c r="E12" s="7">
        <v>22.02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12</v>
      </c>
      <c r="E13" s="5">
        <v>38.27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22.37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29</v>
      </c>
      <c r="E15" s="5">
        <v>9.85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45</v>
      </c>
      <c r="E16" s="7">
        <v>13.58</v>
      </c>
      <c r="F16" s="7">
        <f>ROUND(E16/1.18*0.18,2)</f>
      </c>
      <c r="G16" s="7">
        <f>E16</f>
      </c>
    </row>
    <row r="17" spans="1:7" x14ac:dyDescent="0.25">
      <c r="A17" s="4" t="s">
        <v>46</v>
      </c>
      <c r="B17" s="4" t="s">
        <v>47</v>
      </c>
      <c r="C17" s="4" t="s">
        <v>19</v>
      </c>
      <c r="D17" s="4" t="s">
        <v>29</v>
      </c>
      <c r="E17" s="5">
        <v>25.6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32</v>
      </c>
      <c r="E18" s="7">
        <v>54.03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16</v>
      </c>
      <c r="E19" s="5">
        <v>44.93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40</v>
      </c>
      <c r="E20" s="7">
        <v>52.56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12</v>
      </c>
      <c r="E21" s="5">
        <v>28.39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20</v>
      </c>
      <c r="E22" s="7">
        <v>57.21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20</v>
      </c>
      <c r="E23" s="5">
        <v>3.96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32</v>
      </c>
      <c r="E24" s="7">
        <v>8.96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4</v>
      </c>
      <c r="C7" s="5">
        <f>50*B7</f>
      </c>
    </row>
    <row r="8" spans="1:3" x14ac:dyDescent="0.25">
      <c r="A8" s="6" t="s">
        <v>70</v>
      </c>
      <c r="B8" s="9">
        <v>2</v>
      </c>
      <c r="C8" s="7">
        <f>20*B8</f>
      </c>
    </row>
    <row r="9" spans="1:3" x14ac:dyDescent="0.25">
      <c r="A9" s="4" t="s">
        <v>71</v>
      </c>
      <c r="B9" s="8">
        <v>12</v>
      </c>
      <c r="C9" s="5">
        <f>10*B9</f>
      </c>
    </row>
    <row r="10" spans="1:3" x14ac:dyDescent="0.25">
      <c r="A10" s="6" t="s">
        <v>72</v>
      </c>
      <c r="B10" s="9">
        <v>16</v>
      </c>
      <c r="C10" s="7">
        <f>5*B10</f>
      </c>
    </row>
    <row r="11" spans="1:3" x14ac:dyDescent="0.25">
      <c r="A11" s="4" t="s">
        <v>73</v>
      </c>
      <c r="B11" s="8">
        <v>7</v>
      </c>
      <c r="C11" s="5">
        <f>2*B11</f>
      </c>
    </row>
    <row r="12" spans="1:3" x14ac:dyDescent="0.25">
      <c r="A12" s="6" t="s">
        <v>74</v>
      </c>
      <c r="B12" s="9">
        <v>7</v>
      </c>
      <c r="C12" s="7">
        <f>1*B12</f>
      </c>
    </row>
    <row r="13" spans="1:3" x14ac:dyDescent="0.25">
      <c r="A13" s="4" t="s">
        <v>75</v>
      </c>
      <c r="B13" s="8">
        <v>4</v>
      </c>
      <c r="C13" s="5">
        <f>0.5*B13</f>
      </c>
    </row>
    <row r="14" spans="1:3" x14ac:dyDescent="0.25">
      <c r="A14" s="6" t="s">
        <v>76</v>
      </c>
      <c r="B14" s="9">
        <v>0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{0E801AF0-1F8B-46CA-9A93-C84D2F7D71C9}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801AF0-1F8B-46CA-9A93-C84D2F7D71C9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