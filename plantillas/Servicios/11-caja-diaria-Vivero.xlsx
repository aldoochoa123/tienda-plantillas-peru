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<sst xmlns="http://schemas.openxmlformats.org/spreadsheetml/2006/main" count="129" uniqueCount="90">
  <si>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VIVERO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</si>
  <si>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</si>
  <si>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</si>
  <si>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</si>
  <si>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</si>
  <si>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</si>
  <si>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</si>
  <si>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</si>
  <si>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</si>
  <si>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</si>
  <si>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</si>
  <si>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</si>
  <si>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Tierra vegetal</t>
  </si>
  <si>
    <t>08:30</t>
  </si>
  <si>
    <t>B001-10001</t>
  </si>
  <si>
    <t>Yape</t>
  </si>
  <si>
    <t>Césped</t>
  </si>
  <si>
    <t>09:15</t>
  </si>
  <si>
    <t>B001-10002</t>
  </si>
  <si>
    <t>Plin</t>
  </si>
  <si>
    <t>Macetas</t>
  </si>
  <si>
    <t>09:45</t>
  </si>
  <si>
    <t>B001-10003</t>
  </si>
  <si>
    <t>Planta ornamental</t>
  </si>
  <si>
    <t>10:20</t>
  </si>
  <si>
    <t>B001-10004</t>
  </si>
  <si>
    <t>Tarjeta</t>
  </si>
  <si>
    <t>11:00</t>
  </si>
  <si>
    <t>B001-10005</t>
  </si>
  <si>
    <t>Abono orgánico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</si>
  <si>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</si>
  <si>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</si>
  <si>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</si>
  <si>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</si>
  <si>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</si>
  <si>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</si>
  <si>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</si>
  <si>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</si>
  <si>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</si>
  <si>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</si>
  <si>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</si>
  <si>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</si>
  <si>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</si>
  <si>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</si>
  <si>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</si>
  <si>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</si>
  <si>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</si>
  <si>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Semillas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</si>
  <si>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</si>
  <si>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</si>
  <si>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</si>
  <si>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</si>
  <si>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</si>
  <si>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</si>
  <si>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</si>
  <si>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</si>
  <si>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</si>
  <si>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</si>
  <si>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Fertilizante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</si>
  <si>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</si>
  <si>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</si>
  <si>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</si>
  <si>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</si>
  <si>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</si>
  <si>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</si>
  <si>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</si>
  <si>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</si>
  <si>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</si>
  <si>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</si>
  <si>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</si>
  <si>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</si>
  <si>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</si>
  <si>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</si>
  <si>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</si>
  <si>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</si>
  <si>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</si>
  <si>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</si>
  <si>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</si>
  <si>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VIVERO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</si>
  <si>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</si>
  <si>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</si>
  <si>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</si>
  <si>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</si>
  <si>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</si>
  <si>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</si>
  <si>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</si>
  <si>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</si>
  <si>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</si>
  <si>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</si>
  <si>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Vivero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</si>
</sst>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20.49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40.09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33.63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17.72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12</v>
      </c>
      <c r="E9" s="5">
        <v>25.16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13.2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20</v>
      </c>
      <c r="E11" s="5">
        <v>24.54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20</v>
      </c>
      <c r="E12" s="7">
        <v>52.28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12</v>
      </c>
      <c r="E13" s="5">
        <v>8.86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29</v>
      </c>
      <c r="E14" s="7">
        <v>42.9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20</v>
      </c>
      <c r="E15" s="5">
        <v>15.95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16</v>
      </c>
      <c r="E16" s="7">
        <v>50.23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23</v>
      </c>
      <c r="E17" s="5">
        <v>30.21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47</v>
      </c>
      <c r="E18" s="7">
        <v>23.16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26</v>
      </c>
      <c r="D19" s="4" t="s">
        <v>12</v>
      </c>
      <c r="E19" s="5">
        <v>13.31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16</v>
      </c>
      <c r="E20" s="7">
        <v>52.65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20</v>
      </c>
      <c r="E21" s="5">
        <v>30.36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23</v>
      </c>
      <c r="E22" s="7">
        <v>39.38</v>
      </c>
      <c r="F22" s="7">
        <f>ROUND(E22/1.18*0.18,2)</f>
      </c>
      <c r="G22" s="7">
        <f>E22</f>
      </c>
    </row>
    <row r="23" spans="1:7" x14ac:dyDescent="0.25">
      <c r="A23" s="4" t="s">
        <v>56</v>
      </c>
      <c r="B23" s="4" t="s">
        <v>57</v>
      </c>
      <c r="C23" s="4" t="s">
        <v>36</v>
      </c>
      <c r="D23" s="4" t="s">
        <v>58</v>
      </c>
      <c r="E23" s="5">
        <v>24.88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47</v>
      </c>
      <c r="E24" s="7">
        <v>35.04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4</v>
      </c>
      <c r="C6" s="7">
        <f>100*B6</f>
      </c>
    </row>
    <row r="7" spans="1:3" x14ac:dyDescent="0.25">
      <c r="A7" s="4" t="s">
        <v>68</v>
      </c>
      <c r="B7" s="8">
        <v>4</v>
      </c>
      <c r="C7" s="5">
        <f>50*B7</f>
      </c>
    </row>
    <row r="8" spans="1:3" x14ac:dyDescent="0.25">
      <c r="A8" s="6" t="s">
        <v>69</v>
      </c>
      <c r="B8" s="9">
        <v>17</v>
      </c>
      <c r="C8" s="7">
        <f>20*B8</f>
      </c>
    </row>
    <row r="9" spans="1:3" x14ac:dyDescent="0.25">
      <c r="A9" s="4" t="s">
        <v>70</v>
      </c>
      <c r="B9" s="8">
        <v>16</v>
      </c>
      <c r="C9" s="5">
        <f>10*B9</f>
      </c>
    </row>
    <row r="10" spans="1:3" x14ac:dyDescent="0.25">
      <c r="A10" s="6" t="s">
        <v>71</v>
      </c>
      <c r="B10" s="9">
        <v>16</v>
      </c>
      <c r="C10" s="7">
        <f>5*B10</f>
      </c>
    </row>
    <row r="11" spans="1:3" x14ac:dyDescent="0.25">
      <c r="A11" s="4" t="s">
        <v>72</v>
      </c>
      <c r="B11" s="8">
        <v>15</v>
      </c>
      <c r="C11" s="5">
        <f>2*B11</f>
      </c>
    </row>
    <row r="12" spans="1:3" x14ac:dyDescent="0.25">
      <c r="A12" s="6" t="s">
        <v>73</v>
      </c>
      <c r="B12" s="9">
        <v>2</v>
      </c>
      <c r="C12" s="7">
        <f>1*B12</f>
      </c>
    </row>
    <row r="13" spans="1:3" x14ac:dyDescent="0.25">
      <c r="A13" s="4" t="s">
        <v>74</v>
      </c>
      <c r="B13" s="8">
        <v>6</v>
      </c>
      <c r="C13" s="5">
        <f>0.5*B13</f>
      </c>
    </row>
    <row r="14" spans="1:3" x14ac:dyDescent="0.25">
      <c r="A14" s="6" t="s">
        <v>75</v>
      </c>
      <c r="B14" s="9">
        <v>11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{8C8E65AB-4817-4FFF-9E85-36A8E3CEA6F8}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8E65AB-4817-4FFF-9E85-36A8E3CEA6F8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