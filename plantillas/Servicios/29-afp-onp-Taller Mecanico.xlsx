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AFP ONP" state="visible" r:id="rId4"/>
  </sheets>
  <calcPr calcId="171027"/>
</workbook>
</file>

<file path=xl/sharedStrings.xml><?xml version="1.0" encoding="utf-8"?>
<sst xmlns="http://schemas.openxmlformats.org/spreadsheetml/2006/main" count="22" uniqueCount="22">
  <si>
    <t>CALCULADORA AFP/ONP — TALLER MECÁNICO</t>
  </si>
  <si>
    <t>Compara sistemas de pensiones y simula tu jubilación</t>
  </si>
  <si>
    <t>📝 DATOS PERSONALES</t>
  </si>
  <si>
    <t>Edad actual</t>
  </si>
  <si>
    <t>Edad de jubilación</t>
  </si>
  <si>
    <t>Sueldo mensual</t>
  </si>
  <si>
    <t>Meses restantes</t>
  </si>
  <si>
    <t>📊 COMPARACIÓN DE SISTEMAS</t>
  </si>
  <si>
    <t>Concepto</t>
  </si>
  <si>
    <t>AFP Integra</t>
  </si>
  <si>
    <t>AFP Prima</t>
  </si>
  <si>
    <t>AFP Profuturo</t>
  </si>
  <si>
    <t>ONP</t>
  </si>
  <si>
    <t>Comisión mixta (%)</t>
  </si>
  <si>
    <t>Seguro (aprox. %)</t>
  </si>
  <si>
    <t>Aporte mensual (sueldo × comisión)</t>
  </si>
  <si>
    <t>Ahorro acumulado (aporte × meses × rendimiento)</t>
  </si>
  <si>
    <t>Pensión mensual estimada (ahorro / 240)</t>
  </si>
  <si>
    <t>💡 RECOMENDACIÓN</t>
  </si>
  <si>
    <t>El sistema con mejor pensión estimada es:</t>
  </si>
  <si>
    <t>💡 La ONP da pensión vitalicia pero sin ahorro acumulado. AFP puede dar mayor pensión pero depende del rendimiento.</t>
  </si>
  <si>
    <t>Taller Mecánico · Calculadora AFP/ONP Pack Perú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</si>
</sst>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&quot;S/&quot; #,##0.00"/>
    <numFmt numFmtId="165" formatCode="0.0%"/>
  </numFmts>
  <fonts count="7" x14ac:knownFonts="1">
    <font>
      <color theme="1"/>
      <family val="2"/>
      <scheme val="minor"/>
      <sz val="11"/>
      <name val="Calibri"/>
    </font>
    <font>
      <b/>
      <color rgb="FFFFFFFF"/>
      <sz val="18"/>
      <name val="Calibri"/>
    </font>
    <font>
      <i/>
      <color rgb="FFFFFFFF"/>
      <sz val="11"/>
      <name val="Calibri"/>
    </font>
    <font>
      <b/>
      <color rgb="FFFFFFFF"/>
      <sz val="11"/>
      <name val="Calibri"/>
    </font>
    <font>
      <color rgb="FF1A2E24"/>
      <sz val="11"/>
      <name val="Calibri"/>
    </font>
    <font>
      <b/>
      <color rgb="FF1A2E24"/>
      <sz val="11"/>
      <name val="Calibri"/>
    </font>
    <font>
      <i/>
      <color rgb="FF5B7268"/>
      <sz val="9"/>
      <name val="Calibri"/>
    </font>
  </fonts>
  <fills count="8">
    <fill>
      <patternFill patternType="none"/>
    </fill>
    <fill>
      <patternFill patternType="gray125"/>
    </fill>
    <fill>
      <patternFill patternType="solid">
        <fgColor rgb="FF0B3B2A"/>
      </patternFill>
    </fill>
    <fill>
      <patternFill patternType="solid">
        <fgColor rgb="FF16A34A"/>
      </patternFill>
    </fill>
    <fill>
      <patternFill patternType="solid">
        <fgColor rgb="FFF1F5F3"/>
      </patternFill>
    </fill>
    <fill>
      <patternFill patternType="solid">
        <fgColor rgb="FFE7F6EC"/>
      </patternFill>
    </fill>
    <fill>
      <patternFill patternType="solid">
        <fgColor rgb="FF2563EB"/>
      </patternFill>
    </fill>
    <fill>
      <patternFill patternType="solid">
        <fgColor rgb="FFFEF9E0"/>
      </patternFill>
    </fill>
  </fills>
  <borders count="2">
    <border>
      <left/>
      <right/>
      <top/>
      <bottom/>
      <diagonal/>
    </border>
    <border>
      <left style="thin">
        <color rgb="FFCBD5D1"/>
      </left>
      <right style="thin">
        <color rgb="FFCBD5D1"/>
      </right>
      <top style="thin">
        <color rgb="FFCBD5D1"/>
      </top>
      <bottom style="thin">
        <color rgb="FFCBD5D1"/>
      </bottom>
      <diagonal/>
    </border>
  </borders>
  <cellStyleXfs count="1">
    <xf numFmtId="0" fontId="0" fillId="0" borderId="0"/>
  </cellStyleXfs>
  <cellXfs count="23">
    <xf numFmtId="0" fontId="0" fillId="0" borderId="0" xfId="0"/>
    <xf numFmtId="0" fontId="1" fillId="2" borderId="0" xfId="0" applyFont="1" applyFill="1" applyAlignment="1">
      <alignment horizontal="center" vertical="center"/>
    </xf>
    <xf numFmtId="0" fontId="2" fillId="3" borderId="0" xfId="0" applyFont="1" applyFill="1" applyAlignment="1">
      <alignment horizontal="center" vertical="center"/>
    </xf>
    <xf numFmtId="0" fontId="3" fillId="2" borderId="0" xfId="0" applyFont="1" applyFill="1" applyAlignment="1">
      <alignment horizontal="left" vertical="center"/>
    </xf>
    <xf numFmtId="0" fontId="4" fillId="0" borderId="1" xfId="0" applyFont="1" applyBorder="1" applyAlignment="1">
      <alignment horizontal="left" vertical="center"/>
    </xf>
    <xf numFmtId="3" fontId="4" fillId="0" borderId="1" xfId="0" applyNumberFormat="1" applyFont="1" applyBorder="1" applyAlignment="1">
      <alignment horizontal="right" vertical="center"/>
    </xf>
    <xf numFmtId="0" fontId="4" fillId="0" borderId="1" xfId="0" applyFont="1" applyBorder="1" applyAlignment="1">
      <alignment horizontal="right" vertical="center"/>
    </xf>
    <xf numFmtId="164" fontId="4" fillId="0" borderId="1" xfId="0" applyNumberFormat="1" applyFont="1" applyBorder="1" applyAlignment="1">
      <alignment horizontal="right" vertical="center"/>
    </xf>
    <xf numFmtId="0" fontId="3" fillId="3" borderId="0" xfId="0" applyFont="1" applyFill="1" applyAlignment="1">
      <alignment horizontal="left" vertical="center"/>
    </xf>
    <xf numFmtId="0" fontId="3" fillId="2" borderId="1" xfId="0" applyFont="1" applyFill="1" applyBorder="1" applyAlignment="1">
      <alignment horizontal="center" vertical="center" wrapText="1"/>
    </xf>
    <xf numFmtId="165" fontId="4" fillId="0" borderId="1" xfId="0" applyNumberFormat="1" applyFont="1" applyBorder="1" applyAlignment="1">
      <alignment horizontal="right" vertical="center"/>
    </xf>
    <xf numFmtId="0" fontId="4" fillId="4" borderId="1" xfId="0" applyFont="1" applyFill="1" applyBorder="1" applyAlignment="1">
      <alignment horizontal="left" vertical="center"/>
    </xf>
    <xf numFmtId="165" fontId="4" fillId="4" borderId="1" xfId="0" applyNumberFormat="1" applyFont="1" applyFill="1" applyBorder="1" applyAlignment="1">
      <alignment horizontal="right" vertical="center"/>
    </xf>
    <xf numFmtId="164" fontId="4" fillId="4" borderId="1" xfId="0" applyNumberFormat="1" applyFont="1" applyFill="1" applyBorder="1" applyAlignment="1">
      <alignment horizontal="right" vertical="center"/>
    </xf>
    <xf numFmtId="0" fontId="5" fillId="5" borderId="1" xfId="0" applyFont="1" applyFill="1" applyBorder="1" applyAlignment="1">
      <alignment horizontal="left" vertical="center"/>
    </xf>
    <xf numFmtId="164" fontId="5" fillId="5" borderId="1" xfId="0" applyNumberFormat="1" applyFont="1" applyFill="1" applyBorder="1" applyAlignment="1">
      <alignment horizontal="right" vertical="center"/>
    </xf>
    <xf numFmtId="0" fontId="3" fillId="2" borderId="1" xfId="0" applyFont="1" applyFill="1" applyBorder="1" applyAlignment="1">
      <alignment horizontal="left" vertical="center"/>
    </xf>
    <xf numFmtId="164" fontId="3" fillId="2" borderId="1" xfId="0" applyNumberFormat="1" applyFont="1" applyFill="1" applyBorder="1" applyAlignment="1">
      <alignment horizontal="right" vertical="center"/>
    </xf>
    <xf numFmtId="0" fontId="3" fillId="6" borderId="0" xfId="0" applyFont="1" applyFill="1" applyAlignment="1">
      <alignment horizontal="left" vertical="center"/>
    </xf>
    <xf numFmtId="0" fontId="4" fillId="7" borderId="1" xfId="0" applyFont="1" applyFill="1" applyBorder="1" applyAlignment="1">
      <alignment horizontal="left" vertical="center"/>
    </xf>
    <xf numFmtId="0" fontId="4" fillId="7" borderId="1" xfId="0" applyFont="1" applyFill="1" applyBorder="1" applyAlignment="1">
      <alignment horizontal="right" vertical="center"/>
    </xf>
    <xf numFmtId="0" fontId="6" fillId="0" borderId="0" xfId="0" applyFont="1" applyAlignment="1">
      <alignment horizontal="left" vertical="center"/>
    </xf>
    <xf numFmtId="0" fontId="6" fillId="0" borderId="0" xfId="0" applyFont="1" applyAlignment="1">
      <alignment horizontal="center" vertical="center"/>
    </xf>
  </cellXfs>
  <cellStyles count="1">
    <cellStyle name="Normal" xfId="0" builtinId="0"/>
  </cellStyles>
  <dxfs count="1">
    <dxf>
      <font>
        <b/>
        <color rgb="FF15803D"/>
      </font>
      <fill>
        <patternFill patternType="solid">
          <fgColor rgb="FFE7F6EC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23"/>
  <sheetViews>
    <sheetView workbookViewId="0" showGridLines="0"/>
  </sheetViews>
  <sheetFormatPr defaultRowHeight="15" outlineLevelRow="0" outlineLevelCol="0" x14ac:dyDescent="55"/>
  <cols>
    <col min="1" max="1" width="34" customWidth="1"/>
    <col min="2" max="5" width="16" customWidth="1"/>
  </cols>
  <sheetData>
    <row r="1" ht="32" customHeight="1" spans="1:5" x14ac:dyDescent="0.25">
      <c r="A1" s="1" t="s">
        <v>0</v>
      </c>
      <c r="B1" s="1"/>
      <c r="C1" s="1"/>
      <c r="D1" s="1"/>
      <c r="E1" s="1"/>
    </row>
    <row r="2" ht="18" customHeight="1" spans="1:5" x14ac:dyDescent="0.25">
      <c r="A2" s="2" t="s">
        <v>1</v>
      </c>
      <c r="B2" s="2"/>
      <c r="C2" s="2"/>
      <c r="D2" s="2"/>
      <c r="E2" s="2"/>
    </row>
    <row r="4" spans="1:5" x14ac:dyDescent="0.25">
      <c r="A4" s="3" t="s">
        <v>2</v>
      </c>
      <c r="B4" s="3"/>
      <c r="C4" s="3"/>
      <c r="D4" s="3"/>
      <c r="E4" s="3"/>
    </row>
    <row r="5" spans="1:2" x14ac:dyDescent="0.25">
      <c r="A5" s="4" t="s">
        <v>3</v>
      </c>
      <c r="B5" s="5">
        <v>30</v>
      </c>
    </row>
    <row r="6" spans="1:2" x14ac:dyDescent="0.25">
      <c r="A6" s="4" t="s">
        <v>4</v>
      </c>
      <c r="B6" s="6">
        <v>65</v>
      </c>
    </row>
    <row r="7" spans="1:2" x14ac:dyDescent="0.25">
      <c r="A7" s="4" t="s">
        <v>5</v>
      </c>
      <c r="B7" s="7">
        <v>3500</v>
      </c>
    </row>
    <row r="8" spans="1:2" x14ac:dyDescent="0.25">
      <c r="A8" s="4" t="s">
        <v>6</v>
      </c>
      <c r="B8" s="5">
        <f>(B6-B5)*12</f>
      </c>
    </row>
    <row r="10" spans="1:5" x14ac:dyDescent="0.25">
      <c r="A10" s="8" t="s">
        <v>7</v>
      </c>
      <c r="B10" s="8"/>
      <c r="C10" s="8"/>
      <c r="D10" s="8"/>
      <c r="E10" s="8"/>
    </row>
    <row r="11" ht="22" customHeight="1" spans="1:5" x14ac:dyDescent="0.25">
      <c r="A11" s="9" t="s">
        <v>8</v>
      </c>
      <c r="B11" s="9" t="s">
        <v>9</v>
      </c>
      <c r="C11" s="9" t="s">
        <v>10</v>
      </c>
      <c r="D11" s="9" t="s">
        <v>11</v>
      </c>
      <c r="E11" s="9" t="s">
        <v>12</v>
      </c>
    </row>
    <row r="12" spans="1:5" x14ac:dyDescent="0.25">
      <c r="A12" s="4" t="s">
        <v>13</v>
      </c>
      <c r="B12" s="10">
        <v>11.95</v>
      </c>
      <c r="C12" s="10">
        <v>12.45</v>
      </c>
      <c r="D12" s="10">
        <v>12.6</v>
      </c>
      <c r="E12" s="10">
        <v>13</v>
      </c>
    </row>
    <row r="13" spans="1:5" x14ac:dyDescent="0.25">
      <c r="A13" s="11" t="s">
        <v>14</v>
      </c>
      <c r="B13" s="12">
        <v>0.55</v>
      </c>
      <c r="C13" s="12">
        <v>0.55</v>
      </c>
      <c r="D13" s="12">
        <v>0.55</v>
      </c>
      <c r="E13" s="12">
        <v>0</v>
      </c>
    </row>
    <row r="14" spans="1:5" x14ac:dyDescent="0.25">
      <c r="A14" s="11" t="s">
        <v>15</v>
      </c>
      <c r="B14" s="13">
        <f>ROUND(B$7*B12,2)</f>
      </c>
      <c r="C14" s="13">
        <f>ROUND(B$7*C12,2)</f>
      </c>
      <c r="D14" s="13">
        <f>ROUND(B$7*D12,2)</f>
      </c>
      <c r="E14" s="13">
        <f>ROUND(B$7*E12,2)</f>
      </c>
    </row>
    <row r="15" spans="1:5" x14ac:dyDescent="0.25">
      <c r="A15" s="14" t="s">
        <v>16</v>
      </c>
      <c r="B15" s="15">
        <f>ROUND(B14*B$8*1.06,2)</f>
      </c>
      <c r="C15" s="15">
        <f>ROUND(C14*B$8*1.05,2)</f>
      </c>
      <c r="D15" s="15">
        <f>ROUND(D14*B$8*1.04,2)</f>
      </c>
      <c r="E15" s="15">
        <f>ROUND(E14*B$8*1.03,2)</f>
      </c>
    </row>
    <row r="16" spans="1:5" x14ac:dyDescent="0.25">
      <c r="A16" s="16" t="s">
        <v>17</v>
      </c>
      <c r="B16" s="17">
        <f>ROUND(B15/240,2)</f>
      </c>
      <c r="C16" s="17">
        <f>ROUND(C15/240,2)</f>
      </c>
      <c r="D16" s="17">
        <f>ROUND(D15/240,2)</f>
      </c>
      <c r="E16" s="17">
        <f>ROUND(E15/240,2)</f>
      </c>
    </row>
    <row r="18" spans="1:5" x14ac:dyDescent="0.25">
      <c r="A18" s="18" t="s">
        <v>18</v>
      </c>
      <c r="B18" s="18"/>
      <c r="C18" s="18"/>
      <c r="D18" s="18"/>
      <c r="E18" s="18"/>
    </row>
    <row r="19" spans="1:2" x14ac:dyDescent="0.25">
      <c r="A19" s="19" t="s">
        <v>19</v>
      </c>
      <c r="B19" s="20">
        <f>IF(B16=MAX(B16:E16),"AFP Integra",IF(C16=MAX(B16:E16),"AFP Prima",IF(D16=MAX(B16:E16),"AFP Profuturo","ONP")))</f>
      </c>
    </row>
    <row r="21" spans="1:1" x14ac:dyDescent="0.25">
      <c r="A21" s="21" t="s">
        <v>20</v>
      </c>
    </row>
    <row r="23" spans="1:5" x14ac:dyDescent="0.25">
      <c r="A23" s="22" t="s">
        <v>21</v>
      </c>
      <c r="B23" s="22"/>
      <c r="C23" s="22"/>
      <c r="D23" s="22"/>
      <c r="E23" s="22"/>
    </row>
  </sheetData>
  <mergeCells count="6">
    <mergeCell ref="A1:E1"/>
    <mergeCell ref="A2:E2"/>
    <mergeCell ref="A4:E4"/>
    <mergeCell ref="A10:E10"/>
    <mergeCell ref="A18:E18"/>
    <mergeCell ref="A23:E23"/>
  </mergeCells>
  <conditionalFormatting sqref="B16:E16">
    <cfRule type="cellIs" dxfId="0" priority="1" operator="equal">
      <formula>MAX($B$16:$E$16)</formula>
    </cfRule>
  </conditionalFormatting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AFP ONP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2026-08-23T16:46:28Z</dcterms:created>
  <dcterms:modified xsi:type="dcterms:W3CDTF">2026-08-23T16:46:28Z</dcterms:modified>
</cp:coreProperties>
</file>