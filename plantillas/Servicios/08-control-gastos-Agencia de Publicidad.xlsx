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<sst xmlns="http://schemas.openxmlformats.org/spreadsheetml/2006/main" count="174" uniqueCount="67">
  <si>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AGENCIA DE PUBLICIDAD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</si>
  <si>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</si>
  <si>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</si>
  <si>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</si>
  <si>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</si>
  <si>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</si>
  <si>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</si>
  <si>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</si>
  <si>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</si>
  <si>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</si>
  <si>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</si>
  <si>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</si>
  <si>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</si>
  <si>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Mantenimiento</t>
  </si>
  <si>
    <t>Boleta</t>
  </si>
  <si>
    <t>20739733676</t>
  </si>
  <si>
    <t>Jun</t>
  </si>
  <si>
    <t/>
  </si>
  <si>
    <t>Personal</t>
  </si>
  <si>
    <t>Combustible</t>
  </si>
  <si>
    <t>Factura</t>
  </si>
  <si>
    <t>Alquiler</t>
  </si>
  <si>
    <t>20111481382</t>
  </si>
  <si>
    <t>Ene</t>
  </si>
  <si>
    <t>Marketing</t>
  </si>
  <si>
    <t>Imprevisto</t>
  </si>
  <si>
    <t>Feb</t>
  </si>
  <si>
    <t>Insumos</t>
  </si>
  <si>
    <t>Abr</t>
  </si>
  <si>
    <t>20183069353</t>
  </si>
  <si>
    <t>Transporte</t>
  </si>
  <si>
    <t>Flete de carga</t>
  </si>
  <si>
    <t>20247958769</t>
  </si>
  <si>
    <t>May</t>
  </si>
  <si>
    <t>Agua SEDAPAL</t>
  </si>
  <si>
    <t>20725009762</t>
  </si>
  <si>
    <t>20769695670</t>
  </si>
  <si>
    <t>Sueldo personal</t>
  </si>
  <si>
    <t>20738994513</t>
  </si>
  <si>
    <t>20773196195</t>
  </si>
  <si>
    <t>20289618518</t>
  </si>
  <si>
    <t>Recibo de luz ENEL</t>
  </si>
  <si>
    <t>20486248949</t>
  </si>
  <si>
    <t>20336060327</t>
  </si>
  <si>
    <t>20246017418</t>
  </si>
  <si>
    <t>20896341828</t>
  </si>
  <si>
    <t>Jul</t>
  </si>
  <si>
    <t>20704612246</t>
  </si>
  <si>
    <t>20895676812</t>
  </si>
  <si>
    <t>20304766907</t>
  </si>
  <si>
    <t>20729817353</t>
  </si>
  <si>
    <t>Mar</t>
  </si>
  <si>
    <t>RESUMEN DE GASTOS — AGENCIA DE PUBLICIDAD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</si>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</sst>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816.09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46183</v>
      </c>
      <c r="B6" s="8" t="s">
        <v>18</v>
      </c>
      <c r="C6" s="8" t="s">
        <v>19</v>
      </c>
      <c r="D6" s="8" t="s">
        <v>20</v>
      </c>
      <c r="E6" s="8" t="s">
        <v>17</v>
      </c>
      <c r="F6" s="9">
        <v>79.68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46039</v>
      </c>
      <c r="B7" s="5" t="s">
        <v>21</v>
      </c>
      <c r="C7" s="5" t="s">
        <v>19</v>
      </c>
      <c r="D7" s="5" t="s">
        <v>20</v>
      </c>
      <c r="E7" s="5" t="s">
        <v>22</v>
      </c>
      <c r="F7" s="6">
        <v>331.96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46078</v>
      </c>
      <c r="B8" s="8" t="s">
        <v>24</v>
      </c>
      <c r="C8" s="8" t="s">
        <v>25</v>
      </c>
      <c r="D8" s="8" t="s">
        <v>14</v>
      </c>
      <c r="E8" s="8" t="s">
        <v>17</v>
      </c>
      <c r="F8" s="9">
        <v>85.5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46120</v>
      </c>
      <c r="B9" s="5" t="s">
        <v>27</v>
      </c>
      <c r="C9" s="5" t="s">
        <v>19</v>
      </c>
      <c r="D9" s="5" t="s">
        <v>14</v>
      </c>
      <c r="E9" s="5" t="s">
        <v>17</v>
      </c>
      <c r="F9" s="6">
        <v>484.41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46030</v>
      </c>
      <c r="B10" s="8" t="s">
        <v>21</v>
      </c>
      <c r="C10" s="8" t="s">
        <v>19</v>
      </c>
      <c r="D10" s="8" t="s">
        <v>14</v>
      </c>
      <c r="E10" s="8" t="s">
        <v>29</v>
      </c>
      <c r="F10" s="9">
        <v>185.45</v>
      </c>
      <c r="G10" s="9">
        <f>ROUND(F10*0.18,2)</f>
      </c>
      <c r="H10" s="9">
        <f>F10+G10</f>
      </c>
      <c r="I10" s="8" t="s">
        <v>23</v>
      </c>
      <c r="J10" s="8" t="s">
        <v>17</v>
      </c>
    </row>
    <row r="11" spans="1:10" x14ac:dyDescent="0.25">
      <c r="A11" s="4">
        <v>46165</v>
      </c>
      <c r="B11" s="5" t="s">
        <v>30</v>
      </c>
      <c r="C11" s="5" t="s">
        <v>31</v>
      </c>
      <c r="D11" s="5" t="s">
        <v>20</v>
      </c>
      <c r="E11" s="5" t="s">
        <v>32</v>
      </c>
      <c r="F11" s="6">
        <v>373.34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46033</v>
      </c>
      <c r="B12" s="8" t="s">
        <v>27</v>
      </c>
      <c r="C12" s="8" t="s">
        <v>34</v>
      </c>
      <c r="D12" s="8" t="s">
        <v>20</v>
      </c>
      <c r="E12" s="8" t="s">
        <v>35</v>
      </c>
      <c r="F12" s="9">
        <v>733.21</v>
      </c>
      <c r="G12" s="9">
        <f>ROUND(F12*0.18,2)</f>
      </c>
      <c r="H12" s="9">
        <f>F12+G12</f>
      </c>
      <c r="I12" s="8" t="s">
        <v>23</v>
      </c>
      <c r="J12" s="8" t="s">
        <v>17</v>
      </c>
    </row>
    <row r="13" spans="1:10" x14ac:dyDescent="0.25">
      <c r="A13" s="4">
        <v>46149</v>
      </c>
      <c r="B13" s="5" t="s">
        <v>27</v>
      </c>
      <c r="C13" s="5" t="s">
        <v>34</v>
      </c>
      <c r="D13" s="5" t="s">
        <v>20</v>
      </c>
      <c r="E13" s="5" t="s">
        <v>36</v>
      </c>
      <c r="F13" s="6">
        <v>183.15</v>
      </c>
      <c r="G13" s="6">
        <f>ROUND(F13*0.18,2)</f>
      </c>
      <c r="H13" s="6">
        <f>F13+G13</f>
      </c>
      <c r="I13" s="5" t="s">
        <v>33</v>
      </c>
      <c r="J13" s="5" t="s">
        <v>17</v>
      </c>
    </row>
    <row r="14" spans="1:10" x14ac:dyDescent="0.25">
      <c r="A14" s="7">
        <v>46131</v>
      </c>
      <c r="B14" s="8" t="s">
        <v>27</v>
      </c>
      <c r="C14" s="8" t="s">
        <v>37</v>
      </c>
      <c r="D14" s="8" t="s">
        <v>20</v>
      </c>
      <c r="E14" s="8" t="s">
        <v>38</v>
      </c>
      <c r="F14" s="9">
        <v>458.66</v>
      </c>
      <c r="G14" s="9">
        <f>ROUND(F14*0.18,2)</f>
      </c>
      <c r="H14" s="9">
        <f>F14+G14</f>
      </c>
      <c r="I14" s="8" t="s">
        <v>28</v>
      </c>
      <c r="J14" s="8" t="s">
        <v>17</v>
      </c>
    </row>
    <row r="15" spans="1:10" x14ac:dyDescent="0.25">
      <c r="A15" s="4">
        <v>46168</v>
      </c>
      <c r="B15" s="5" t="s">
        <v>27</v>
      </c>
      <c r="C15" s="5" t="s">
        <v>34</v>
      </c>
      <c r="D15" s="5" t="s">
        <v>20</v>
      </c>
      <c r="E15" s="5" t="s">
        <v>17</v>
      </c>
      <c r="F15" s="6">
        <v>117.2</v>
      </c>
      <c r="G15" s="6">
        <f>ROUND(F15*0.18,2)</f>
      </c>
      <c r="H15" s="6">
        <f>F15+G15</f>
      </c>
      <c r="I15" s="5" t="s">
        <v>33</v>
      </c>
      <c r="J15" s="5" t="s">
        <v>17</v>
      </c>
    </row>
    <row r="16" spans="1:10" x14ac:dyDescent="0.25">
      <c r="A16" s="7">
        <v>46055</v>
      </c>
      <c r="B16" s="8" t="s">
        <v>18</v>
      </c>
      <c r="C16" s="8" t="s">
        <v>13</v>
      </c>
      <c r="D16" s="8" t="s">
        <v>20</v>
      </c>
      <c r="E16" s="8" t="s">
        <v>39</v>
      </c>
      <c r="F16" s="9">
        <v>398.15</v>
      </c>
      <c r="G16" s="9">
        <f>ROUND(F16*0.18,2)</f>
      </c>
      <c r="H16" s="9">
        <f>F16+G16</f>
      </c>
      <c r="I16" s="8" t="s">
        <v>26</v>
      </c>
      <c r="J16" s="8" t="s">
        <v>17</v>
      </c>
    </row>
    <row r="17" spans="1:10" x14ac:dyDescent="0.25">
      <c r="A17" s="4">
        <v>46158</v>
      </c>
      <c r="B17" s="5" t="s">
        <v>18</v>
      </c>
      <c r="C17" s="5" t="s">
        <v>37</v>
      </c>
      <c r="D17" s="5" t="s">
        <v>20</v>
      </c>
      <c r="E17" s="5" t="s">
        <v>40</v>
      </c>
      <c r="F17" s="6">
        <v>606.56</v>
      </c>
      <c r="G17" s="6">
        <f>ROUND(F17*0.18,2)</f>
      </c>
      <c r="H17" s="6">
        <f>F17+G17</f>
      </c>
      <c r="I17" s="5" t="s">
        <v>33</v>
      </c>
      <c r="J17" s="5" t="s">
        <v>17</v>
      </c>
    </row>
    <row r="18" spans="1:10" x14ac:dyDescent="0.25">
      <c r="A18" s="7">
        <v>46028</v>
      </c>
      <c r="B18" s="8" t="s">
        <v>27</v>
      </c>
      <c r="C18" s="8" t="s">
        <v>41</v>
      </c>
      <c r="D18" s="8" t="s">
        <v>20</v>
      </c>
      <c r="E18" s="8" t="s">
        <v>42</v>
      </c>
      <c r="F18" s="9">
        <v>131.36</v>
      </c>
      <c r="G18" s="9">
        <f>ROUND(F18*0.18,2)</f>
      </c>
      <c r="H18" s="9">
        <f>F18+G18</f>
      </c>
      <c r="I18" s="8" t="s">
        <v>23</v>
      </c>
      <c r="J18" s="8" t="s">
        <v>17</v>
      </c>
    </row>
    <row r="19" spans="1:10" x14ac:dyDescent="0.25">
      <c r="A19" s="4">
        <v>46077</v>
      </c>
      <c r="B19" s="5" t="s">
        <v>24</v>
      </c>
      <c r="C19" s="5" t="s">
        <v>37</v>
      </c>
      <c r="D19" s="5" t="s">
        <v>20</v>
      </c>
      <c r="E19" s="5" t="s">
        <v>43</v>
      </c>
      <c r="F19" s="6">
        <v>718.62</v>
      </c>
      <c r="G19" s="6">
        <f>ROUND(F19*0.18,2)</f>
      </c>
      <c r="H19" s="6">
        <f>F19+G19</f>
      </c>
      <c r="I19" s="5" t="s">
        <v>26</v>
      </c>
      <c r="J19" s="5" t="s">
        <v>17</v>
      </c>
    </row>
    <row r="20" spans="1:10" x14ac:dyDescent="0.25">
      <c r="A20" s="7">
        <v>46067</v>
      </c>
      <c r="B20" s="8" t="s">
        <v>12</v>
      </c>
      <c r="C20" s="8" t="s">
        <v>25</v>
      </c>
      <c r="D20" s="8" t="s">
        <v>20</v>
      </c>
      <c r="E20" s="8" t="s">
        <v>44</v>
      </c>
      <c r="F20" s="9">
        <v>31.29</v>
      </c>
      <c r="G20" s="9">
        <f>ROUND(F20*0.18,2)</f>
      </c>
      <c r="H20" s="9">
        <f>F20+G20</f>
      </c>
      <c r="I20" s="8" t="s">
        <v>26</v>
      </c>
      <c r="J20" s="8" t="s">
        <v>17</v>
      </c>
    </row>
    <row r="21" spans="1:10" x14ac:dyDescent="0.25">
      <c r="A21" s="4">
        <v>46222</v>
      </c>
      <c r="B21" s="5" t="s">
        <v>24</v>
      </c>
      <c r="C21" s="5" t="s">
        <v>37</v>
      </c>
      <c r="D21" s="5" t="s">
        <v>20</v>
      </c>
      <c r="E21" s="5" t="s">
        <v>45</v>
      </c>
      <c r="F21" s="6">
        <v>869.25</v>
      </c>
      <c r="G21" s="6">
        <f>ROUND(F21*0.18,2)</f>
      </c>
      <c r="H21" s="6">
        <f>F21+G21</f>
      </c>
      <c r="I21" s="5" t="s">
        <v>46</v>
      </c>
      <c r="J21" s="5" t="s">
        <v>17</v>
      </c>
    </row>
    <row r="22" spans="1:10" x14ac:dyDescent="0.25">
      <c r="A22" s="7">
        <v>46176</v>
      </c>
      <c r="B22" s="8" t="s">
        <v>18</v>
      </c>
      <c r="C22" s="8" t="s">
        <v>13</v>
      </c>
      <c r="D22" s="8" t="s">
        <v>20</v>
      </c>
      <c r="E22" s="8" t="s">
        <v>47</v>
      </c>
      <c r="F22" s="9">
        <v>255.89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46044</v>
      </c>
      <c r="B23" s="5" t="s">
        <v>12</v>
      </c>
      <c r="C23" s="5" t="s">
        <v>25</v>
      </c>
      <c r="D23" s="5" t="s">
        <v>20</v>
      </c>
      <c r="E23" s="5" t="s">
        <v>17</v>
      </c>
      <c r="F23" s="6">
        <v>409.05</v>
      </c>
      <c r="G23" s="6">
        <f>ROUND(F23*0.18,2)</f>
      </c>
      <c r="H23" s="6">
        <f>F23+G23</f>
      </c>
      <c r="I23" s="5" t="s">
        <v>23</v>
      </c>
      <c r="J23" s="5" t="s">
        <v>17</v>
      </c>
    </row>
    <row r="24" spans="1:10" x14ac:dyDescent="0.25">
      <c r="A24" s="7">
        <v>46193</v>
      </c>
      <c r="B24" s="8" t="s">
        <v>30</v>
      </c>
      <c r="C24" s="8" t="s">
        <v>31</v>
      </c>
      <c r="D24" s="8" t="s">
        <v>20</v>
      </c>
      <c r="E24" s="8" t="s">
        <v>48</v>
      </c>
      <c r="F24" s="9">
        <v>619.64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46198</v>
      </c>
      <c r="B25" s="5" t="s">
        <v>21</v>
      </c>
      <c r="C25" s="5" t="s">
        <v>25</v>
      </c>
      <c r="D25" s="5" t="s">
        <v>20</v>
      </c>
      <c r="E25" s="5" t="s">
        <v>49</v>
      </c>
      <c r="F25" s="6">
        <v>658.82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46099</v>
      </c>
      <c r="B26" s="8" t="s">
        <v>12</v>
      </c>
      <c r="C26" s="8" t="s">
        <v>19</v>
      </c>
      <c r="D26" s="8" t="s">
        <v>20</v>
      </c>
      <c r="E26" s="8" t="s">
        <v>50</v>
      </c>
      <c r="F26" s="9">
        <v>52.47</v>
      </c>
      <c r="G26" s="9">
        <f>ROUND(F26*0.18,2)</f>
      </c>
      <c r="H26" s="9">
        <f>F26+G26</f>
      </c>
      <c r="I26" s="8" t="s">
        <v>51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24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{E0167352-22AB-443A-B0AD-E93CD450FE36}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67352-22AB-443A-B0AD-E93CD450FE3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