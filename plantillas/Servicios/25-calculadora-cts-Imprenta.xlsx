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TS" state="visible" r:id="rId4"/>
    <sheet sheetId="2" name="Empleados CTS" state="visible" r:id="rId5"/>
  </sheets>
  <calcPr calcId="171027"/>
</workbook>
</file>

<file path=xl/sharedStrings.xml><?xml version="1.0" encoding="utf-8"?>
<sst xmlns="http://schemas.openxmlformats.org/spreadsheetml/2006/main" count="41" uniqueCount="37">
  <si>
    <t>CALCULADORA CTS — IMPRENTA</t>
  </si>
  <si>
    <t>Compensación por Tiempo de Servicios · Ley 27735</t>
  </si>
  <si>
    <t>📝 DATOS DEL TRABAJADOR</t>
  </si>
  <si>
    <t>Fecha de ingreso</t>
  </si>
  <si>
    <t>Fecha de cálculo (CTS)</t>
  </si>
  <si>
    <t>Sueldo básico mensual</t>
  </si>
  <si>
    <t>Asignación familiar mensual</t>
  </si>
  <si>
    <t>Comisión promedio mensual</t>
  </si>
  <si>
    <t>Remuneración computable mensual</t>
  </si>
  <si>
    <t>Días laborados (último periodo)</t>
  </si>
  <si>
    <t>Meses completos</t>
  </si>
  <si>
    <t>📊 CÁLCULO CTS</t>
  </si>
  <si>
    <t>CTS anual (remun. computable / 12 × meses)</t>
  </si>
  <si>
    <t>CTS proporcional (remun. / 360 × días)</t>
  </si>
  <si>
    <t>CTS TOTAL A PAGAR</t>
  </si>
  <si>
    <t>💡 La CTS se paga dos veces al año: 15 de mayo (CTS Nov) y 15 de noviembre (CTS May).</t>
  </si>
  <si>
    <t>💡 Máximo imponible 16 UIT = S/ 76,800 (2026). UIT 2026 = S/ 4,800.</t>
  </si>
  <si>
    <t>💡 Incluye: sueldo, asignación familiar, comisiones, horas extras promedio.</t>
  </si>
  <si>
    <t>Imprenta · Calculadora CTS Pack Perú</t>
  </si>
  <si>
    <t>CTS POR EMPLEADOS</t>
  </si>
  <si>
    <t>Calcula la CTS de todos tus trabajadores de una vez</t>
  </si>
  <si>
    <t>Empleado</t>
  </si>
  <si>
    <t>Ingreso</t>
  </si>
  <si>
    <t>Sueldo</t>
  </si>
  <si>
    <t>Asig. Fam.</t>
  </si>
  <si>
    <t>Comisión</t>
  </si>
  <si>
    <t>Rem. Computable</t>
  </si>
  <si>
    <t>CTS Calculada</t>
  </si>
  <si>
    <t>Carlos Ramírez</t>
  </si>
  <si>
    <t>María Torres</t>
  </si>
  <si>
    <t>José Quispe</t>
  </si>
  <si>
    <t>Rosa Huamán</t>
  </si>
  <si>
    <t>Luis Mendoza</t>
  </si>
  <si>
    <t>Ana Sánchez</t>
  </si>
  <si>
    <t>Pedro Flores</t>
  </si>
  <si>
    <t>TOTAL CTS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</si>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</sst>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/mm/yyyy"/>
    <numFmt numFmtId="165" formatCode="&quot;S/&quot; #,##0.00"/>
    <numFmt numFmtId="166" formatCode="0 &quot;días&quot;"/>
    <numFmt numFmtId="167" formatCode="0 &quot;meses&quot;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167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165" fontId="6" fillId="2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left" vertical="center"/>
    </xf>
    <xf numFmtId="165" fontId="4" fillId="5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45031</v>
      </c>
    </row>
    <row r="6" spans="1:2" x14ac:dyDescent="0.25">
      <c r="A6" s="4" t="s">
        <v>4</v>
      </c>
      <c r="B6" s="5">
        <v>46341</v>
      </c>
    </row>
    <row r="7" spans="1:2" x14ac:dyDescent="0.25">
      <c r="A7" s="4" t="s">
        <v>5</v>
      </c>
      <c r="B7" s="6">
        <v>2500</v>
      </c>
    </row>
    <row r="8" spans="1:2" x14ac:dyDescent="0.25">
      <c r="A8" s="4" t="s">
        <v>6</v>
      </c>
      <c r="B8" s="6">
        <v>113</v>
      </c>
    </row>
    <row r="9" spans="1:2" x14ac:dyDescent="0.25">
      <c r="A9" s="4" t="s">
        <v>7</v>
      </c>
      <c r="B9" s="6">
        <v>350</v>
      </c>
    </row>
    <row r="10" spans="1:2" x14ac:dyDescent="0.25">
      <c r="A10" s="7" t="s">
        <v>8</v>
      </c>
      <c r="B10" s="8">
        <f>B7+B8+B9</f>
      </c>
    </row>
    <row r="11" spans="1:2" x14ac:dyDescent="0.25">
      <c r="A11" s="4" t="s">
        <v>9</v>
      </c>
      <c r="B11" s="9">
        <f>B6-B5</f>
      </c>
    </row>
    <row r="12" spans="1:2" x14ac:dyDescent="0.25">
      <c r="A12" s="4" t="s">
        <v>10</v>
      </c>
      <c r="B12" s="10">
        <f>INT((B6-B5)/30)</f>
      </c>
    </row>
    <row r="14" spans="1:5" x14ac:dyDescent="0.25">
      <c r="A14" s="11" t="s">
        <v>11</v>
      </c>
      <c r="B14" s="11"/>
      <c r="C14" s="11"/>
      <c r="D14" s="11"/>
      <c r="E14" s="11"/>
    </row>
    <row r="15" spans="1:2" x14ac:dyDescent="0.25">
      <c r="A15" s="12" t="s">
        <v>12</v>
      </c>
      <c r="B15" s="13">
        <f>ROUND(B10/12*B12,2)</f>
      </c>
    </row>
    <row r="16" spans="1:2" x14ac:dyDescent="0.25">
      <c r="A16" s="4" t="s">
        <v>13</v>
      </c>
      <c r="B16" s="6">
        <f>ROUND(B10/360*(B6-B5),2)</f>
      </c>
    </row>
    <row r="17" spans="1:2" x14ac:dyDescent="0.25">
      <c r="A17" s="14" t="s">
        <v>14</v>
      </c>
      <c r="B17" s="15">
        <f>B15+B16</f>
      </c>
    </row>
    <row r="19" spans="1:1" x14ac:dyDescent="0.25">
      <c r="A19" s="16" t="s">
        <v>15</v>
      </c>
    </row>
    <row r="20" spans="1:1" x14ac:dyDescent="0.25">
      <c r="A20" s="16" t="s">
        <v>16</v>
      </c>
    </row>
    <row r="21" spans="1:1" x14ac:dyDescent="0.25">
      <c r="A21" s="16" t="s">
        <v>17</v>
      </c>
    </row>
    <row r="23" spans="1:5" x14ac:dyDescent="0.25">
      <c r="A23" s="17" t="s">
        <v>18</v>
      </c>
      <c r="B23" s="17"/>
      <c r="C23" s="17"/>
      <c r="D23" s="17"/>
      <c r="E23" s="17"/>
    </row>
  </sheetData>
  <mergeCells count="5">
    <mergeCell ref="A1:E1"/>
    <mergeCell ref="A2:E2"/>
    <mergeCell ref="A4:E4"/>
    <mergeCell ref="A14:E14"/>
    <mergeCell ref="A23:E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 showGridLines="0"/>
  </sheetViews>
  <sheetFormatPr defaultRowHeight="15" outlineLevelRow="0" outlineLevelCol="0" x14ac:dyDescent="55"/>
  <cols>
    <col min="1" max="1" width="24" customWidth="1"/>
    <col min="2" max="7" width="14" customWidth="1"/>
  </cols>
  <sheetData>
    <row r="1" ht="32" customHeight="1" spans="1:7" x14ac:dyDescent="0.25">
      <c r="A1" s="1" t="s">
        <v>19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20</v>
      </c>
      <c r="B2" s="2"/>
      <c r="C2" s="2"/>
      <c r="D2" s="2"/>
      <c r="E2" s="2"/>
      <c r="F2" s="2"/>
      <c r="G2" s="2"/>
    </row>
    <row r="4" ht="22" customHeight="1" spans="1:7" x14ac:dyDescent="0.25">
      <c r="A4" s="18" t="s">
        <v>21</v>
      </c>
      <c r="B4" s="18" t="s">
        <v>22</v>
      </c>
      <c r="C4" s="18" t="s">
        <v>23</v>
      </c>
      <c r="D4" s="18" t="s">
        <v>24</v>
      </c>
      <c r="E4" s="18" t="s">
        <v>25</v>
      </c>
      <c r="F4" s="18" t="s">
        <v>26</v>
      </c>
      <c r="G4" s="18" t="s">
        <v>27</v>
      </c>
    </row>
    <row r="5" spans="1:7" x14ac:dyDescent="0.25">
      <c r="A5" s="4" t="s">
        <v>28</v>
      </c>
      <c r="B5" s="5">
        <v>45947</v>
      </c>
      <c r="C5" s="6">
        <v>2559</v>
      </c>
      <c r="D5" s="6">
        <v>113</v>
      </c>
      <c r="E5" s="6">
        <v>377</v>
      </c>
      <c r="F5" s="6">
        <f>C5+D5+E5</f>
      </c>
      <c r="G5" s="6">
        <f>ROUND(F5/360*(DATE(2026,11,15)-B5),2)</f>
      </c>
    </row>
    <row r="6" spans="1:7" x14ac:dyDescent="0.25">
      <c r="A6" s="19" t="s">
        <v>29</v>
      </c>
      <c r="B6" s="20">
        <v>44806</v>
      </c>
      <c r="C6" s="21">
        <v>2679</v>
      </c>
      <c r="D6" s="21">
        <v>0</v>
      </c>
      <c r="E6" s="21">
        <v>51</v>
      </c>
      <c r="F6" s="21">
        <f>C6+D6+E6</f>
      </c>
      <c r="G6" s="21">
        <f>ROUND(F6/360*(DATE(2026,11,15)-B6),2)</f>
      </c>
    </row>
    <row r="7" spans="1:7" x14ac:dyDescent="0.25">
      <c r="A7" s="4" t="s">
        <v>30</v>
      </c>
      <c r="B7" s="5">
        <v>44994</v>
      </c>
      <c r="C7" s="6">
        <v>1439</v>
      </c>
      <c r="D7" s="6">
        <v>113</v>
      </c>
      <c r="E7" s="6">
        <v>433</v>
      </c>
      <c r="F7" s="6">
        <f>C7+D7+E7</f>
      </c>
      <c r="G7" s="6">
        <f>ROUND(F7/360*(DATE(2026,11,15)-B7),2)</f>
      </c>
    </row>
    <row r="8" spans="1:7" x14ac:dyDescent="0.25">
      <c r="A8" s="19" t="s">
        <v>31</v>
      </c>
      <c r="B8" s="20">
        <v>44733</v>
      </c>
      <c r="C8" s="21">
        <v>2651</v>
      </c>
      <c r="D8" s="21">
        <v>0</v>
      </c>
      <c r="E8" s="21">
        <v>43</v>
      </c>
      <c r="F8" s="21">
        <f>C8+D8+E8</f>
      </c>
      <c r="G8" s="21">
        <f>ROUND(F8/360*(DATE(2026,11,15)-B8),2)</f>
      </c>
    </row>
    <row r="9" spans="1:7" x14ac:dyDescent="0.25">
      <c r="A9" s="4" t="s">
        <v>32</v>
      </c>
      <c r="B9" s="5">
        <v>45209</v>
      </c>
      <c r="C9" s="6">
        <v>3989</v>
      </c>
      <c r="D9" s="6">
        <v>113</v>
      </c>
      <c r="E9" s="6">
        <v>266</v>
      </c>
      <c r="F9" s="6">
        <f>C9+D9+E9</f>
      </c>
      <c r="G9" s="6">
        <f>ROUND(F9/360*(DATE(2026,11,15)-B9),2)</f>
      </c>
    </row>
    <row r="10" spans="1:7" x14ac:dyDescent="0.25">
      <c r="A10" s="19" t="s">
        <v>33</v>
      </c>
      <c r="B10" s="20">
        <v>45734</v>
      </c>
      <c r="C10" s="21">
        <v>1960</v>
      </c>
      <c r="D10" s="21">
        <v>0</v>
      </c>
      <c r="E10" s="21">
        <v>342</v>
      </c>
      <c r="F10" s="21">
        <f>C10+D10+E10</f>
      </c>
      <c r="G10" s="21">
        <f>ROUND(F10/360*(DATE(2026,11,15)-B10),2)</f>
      </c>
    </row>
    <row r="11" spans="1:7" x14ac:dyDescent="0.25">
      <c r="A11" s="4" t="s">
        <v>34</v>
      </c>
      <c r="B11" s="5">
        <v>45041</v>
      </c>
      <c r="C11" s="6">
        <v>3731</v>
      </c>
      <c r="D11" s="6">
        <v>113</v>
      </c>
      <c r="E11" s="6">
        <v>374</v>
      </c>
      <c r="F11" s="6">
        <f>C11+D11+E11</f>
      </c>
      <c r="G11" s="6">
        <f>ROUND(F11/360*(DATE(2026,11,15)-B11),2)</f>
      </c>
    </row>
    <row r="12" spans="1:7" x14ac:dyDescent="0.25">
      <c r="A12" s="14" t="s">
        <v>35</v>
      </c>
      <c r="B12" s="14" t="s">
        <v>36</v>
      </c>
      <c r="C12" s="14" t="s">
        <v>36</v>
      </c>
      <c r="D12" s="14" t="s">
        <v>36</v>
      </c>
      <c r="E12" s="14" t="s">
        <v>36</v>
      </c>
      <c r="F12" s="14" t="s">
        <v>36</v>
      </c>
      <c r="G12" s="15">
        <f>SUM(G5:G11)</f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CTS</vt:lpstr>
      <vt:lpstr>Empleados 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