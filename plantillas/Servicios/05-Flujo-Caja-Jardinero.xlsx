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lujo de Caj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9">
    <font>
      <name val="Calibri"/>
      <family val="2"/>
      <color theme="1"/>
      <sz val="11"/>
      <scheme val="minor"/>
    </font>
    <font>
      <name val="Calibri"/>
      <b val="1"/>
      <color rgb="00FFFFFF"/>
      <sz val="18"/>
    </font>
    <font>
      <name val="Calibri"/>
      <i val="1"/>
      <color rgb="00FFFFFF"/>
      <sz val="11"/>
    </font>
    <font>
      <name val="Calibri"/>
      <b val="1"/>
      <color rgb="00FFFFFF"/>
      <sz val="9"/>
    </font>
    <font>
      <name val="Calibri"/>
      <b val="1"/>
      <color rgb="00FFFFFF"/>
      <sz val="16"/>
    </font>
    <font>
      <name val="Calibri"/>
      <b val="1"/>
      <color rgb="00FFFFFF"/>
      <sz val="13"/>
    </font>
    <font>
      <name val="Calibri"/>
      <b val="1"/>
      <color rgb="00FFFFFF"/>
      <sz val="10"/>
    </font>
    <font>
      <name val="Calibri"/>
      <color rgb="002D3436"/>
      <sz val="10"/>
    </font>
    <font>
      <name val="Calibri"/>
      <b val="1"/>
      <color rgb="001B1464"/>
      <sz val="11"/>
    </font>
  </fonts>
  <fills count="9">
    <fill>
      <patternFill/>
    </fill>
    <fill>
      <patternFill patternType="gray125"/>
    </fill>
    <fill>
      <patternFill patternType="solid">
        <fgColor rgb="001B1464"/>
        <bgColor rgb="001B1464"/>
      </patternFill>
    </fill>
    <fill>
      <patternFill patternType="solid">
        <fgColor rgb="00FDCB6E"/>
        <bgColor rgb="00FDCB6E"/>
      </patternFill>
    </fill>
    <fill>
      <patternFill patternType="solid">
        <fgColor rgb="000984E3"/>
        <bgColor rgb="000984E3"/>
      </patternFill>
    </fill>
    <fill>
      <patternFill patternType="solid">
        <fgColor rgb="0000B894"/>
        <bgColor rgb="0000B894"/>
      </patternFill>
    </fill>
    <fill>
      <patternFill patternType="solid">
        <fgColor rgb="00E17055"/>
        <bgColor rgb="00E17055"/>
      </patternFill>
    </fill>
    <fill>
      <patternFill patternType="solid">
        <fgColor rgb="006C5CE7"/>
        <bgColor rgb="006C5CE7"/>
      </patternFill>
    </fill>
    <fill>
      <patternFill patternType="solid">
        <fgColor rgb="00F0FFF0"/>
        <bgColor rgb="00F0FFF0"/>
      </patternFill>
    </fill>
  </fills>
  <borders count="2">
    <border>
      <left/>
      <right/>
      <top/>
      <bottom/>
      <diagonal/>
    </border>
    <border>
      <left style="thin">
        <color rgb="00DFE6E9"/>
      </left>
      <right style="thin">
        <color rgb="00DFE6E9"/>
      </right>
      <top style="thin">
        <color rgb="00DFE6E9"/>
      </top>
      <bottom style="thin">
        <color rgb="00DFE6E9"/>
      </bottom>
    </border>
  </borders>
  <cellStyleXfs count="1">
    <xf numFmtId="0" fontId="0" fillId="0" borderId="0"/>
  </cellStyleXfs>
  <cellXfs count="2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4" borderId="0" applyAlignment="1" pivotButton="0" quotePrefix="0" xfId="0">
      <alignment horizontal="center" vertical="center" wrapText="1"/>
    </xf>
    <xf numFmtId="0" fontId="3" fillId="5" borderId="0" applyAlignment="1" pivotButton="0" quotePrefix="0" xfId="0">
      <alignment horizontal="center" vertical="center" wrapText="1"/>
    </xf>
    <xf numFmtId="0" fontId="3" fillId="6" borderId="0" applyAlignment="1" pivotButton="0" quotePrefix="0" xfId="0">
      <alignment horizontal="center" vertical="center" wrapText="1"/>
    </xf>
    <xf numFmtId="0" fontId="3" fillId="7" borderId="0" applyAlignment="1" pivotButton="0" quotePrefix="0" xfId="0">
      <alignment horizontal="center" vertical="center" wrapText="1"/>
    </xf>
    <xf numFmtId="0" fontId="4" fillId="4" borderId="0" applyAlignment="1" pivotButton="0" quotePrefix="0" xfId="0">
      <alignment horizontal="center" vertical="center" wrapText="1"/>
    </xf>
    <xf numFmtId="0" fontId="4" fillId="5" borderId="0" applyAlignment="1" pivotButton="0" quotePrefix="0" xfId="0">
      <alignment horizontal="center" vertical="center" wrapText="1"/>
    </xf>
    <xf numFmtId="0" fontId="4" fillId="6" borderId="0" applyAlignment="1" pivotButton="0" quotePrefix="0" xfId="0">
      <alignment horizontal="center" vertical="center" wrapText="1"/>
    </xf>
    <xf numFmtId="0" fontId="4" fillId="7" borderId="0" applyAlignment="1" pivotButton="0" quotePrefix="0" xfId="0">
      <alignment horizontal="center" vertical="center" wrapText="1"/>
    </xf>
    <xf numFmtId="0" fontId="5" fillId="3" borderId="0" applyAlignment="1" pivotButton="0" quotePrefix="0" xfId="0">
      <alignment horizontal="left" vertical="center"/>
    </xf>
    <xf numFmtId="0" fontId="6" fillId="2" borderId="1" applyAlignment="1" pivotButton="0" quotePrefix="0" xfId="0">
      <alignment horizontal="center" vertical="center" wrapText="1"/>
    </xf>
    <xf numFmtId="0" fontId="7" fillId="8" borderId="1" applyAlignment="1" pivotButton="0" quotePrefix="0" xfId="0">
      <alignment horizontal="center" vertical="center" wrapText="1"/>
    </xf>
    <xf numFmtId="3" fontId="7" fillId="8" borderId="1" applyAlignment="1" pivotButton="0" quotePrefix="0" xfId="0">
      <alignment horizontal="center" vertical="center" wrapText="1"/>
    </xf>
    <xf numFmtId="0" fontId="7" fillId="0" borderId="1" applyAlignment="1" pivotButton="0" quotePrefix="0" xfId="0">
      <alignment horizontal="center" vertical="center" wrapText="1"/>
    </xf>
    <xf numFmtId="3" fontId="7" fillId="0" borderId="1" applyAlignment="1" pivotButton="0" quotePrefix="0" xfId="0">
      <alignment horizontal="center" vertical="center" wrapText="1"/>
    </xf>
    <xf numFmtId="0" fontId="8" fillId="0" borderId="0" pivotButton="0" quotePrefix="0" xfId="0"/>
    <xf numFmtId="3" fontId="8" fillId="0" borderId="0" pivotButton="0" quotePrefix="0" xfId="0"/>
    <xf numFmtId="0" fontId="6" fillId="2" borderId="0" pivotButton="0" quotePrefix="0" xfId="0"/>
  </cellXfs>
  <cellStyles count="1">
    <cellStyle name="Normal" xfId="0" builtinId="0" hidden="0"/>
  </cellStyles>
  <dxfs count="2">
    <dxf>
      <fill>
        <patternFill patternType="solid">
          <fgColor rgb="00C8E6C9"/>
          <bgColor rgb="00C8E6C9"/>
        </patternFill>
      </fill>
    </dxf>
    <dxf>
      <fill>
        <patternFill patternType="solid">
          <fgColor rgb="00FFCDD2"/>
          <bgColor rgb="00FFCDD2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charts/chart1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Ingresos vs Egresos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'Flujo de Caja'!B9</f>
            </strRef>
          </tx>
          <spPr>
            <a:solidFill>
              <a:srgbClr val="00B894"/>
            </a:solidFill>
            <a:ln>
              <a:prstDash val="solid"/>
            </a:ln>
          </spPr>
          <cat>
            <numRef>
              <f>'Flujo de Caja'!$A$10:$A$21</f>
            </numRef>
          </cat>
          <val>
            <numRef>
              <f>'Flujo de Caja'!$B$10:$B$21</f>
            </numRef>
          </val>
        </ser>
        <ser>
          <idx val="1"/>
          <order val="1"/>
          <tx>
            <strRef>
              <f>'Flujo de Caja'!C9</f>
            </strRef>
          </tx>
          <spPr>
            <a:solidFill>
              <a:srgbClr val="0984E3"/>
            </a:solidFill>
            <a:ln>
              <a:prstDash val="solid"/>
            </a:ln>
          </spPr>
          <cat>
            <numRef>
              <f>'Flujo de Caja'!$A$10:$A$21</f>
            </numRef>
          </cat>
          <val>
            <numRef>
              <f>'Flujo de Caja'!$C$10:$C$21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Saldo Acumulado</a:t>
            </a:r>
          </a:p>
        </rich>
      </tx>
    </title>
    <plotArea>
      <lineChart>
        <grouping val="standard"/>
        <ser>
          <idx val="0"/>
          <order val="0"/>
          <tx>
            <strRef>
              <f>'Flujo de Caja'!E9</f>
            </strRef>
          </tx>
          <spPr>
            <a:ln w="25000">
              <a:solidFill>
                <a:srgbClr val="00B894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'Flujo de Caja'!$A$10:$A$21</f>
            </numRef>
          </cat>
          <val>
            <numRef>
              <f>'Flujo de Caja'!$E$10:$E$21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3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Composicion Egresos</a:t>
            </a:r>
          </a:p>
        </rich>
      </tx>
    </title>
    <plotArea>
      <pieChart>
        <varyColors val="1"/>
        <ser>
          <idx val="0"/>
          <order val="0"/>
          <tx>
            <strRef>
              <f>'Flujo de Caja'!B40</f>
            </strRef>
          </tx>
          <spPr>
            <a:ln>
              <a:prstDash val="solid"/>
            </a:ln>
          </spPr>
          <dPt>
            <idx val="0"/>
            <spPr>
              <a:solidFill>
                <a:srgbClr val="00B894"/>
              </a:solidFill>
              <a:ln>
                <a:prstDash val="solid"/>
              </a:ln>
            </spPr>
          </dPt>
          <dPt>
            <idx val="1"/>
            <spPr>
              <a:solidFill>
                <a:srgbClr val="0984E3"/>
              </a:solidFill>
              <a:ln>
                <a:prstDash val="solid"/>
              </a:ln>
            </spPr>
          </dPt>
          <dPt>
            <idx val="2"/>
            <spPr>
              <a:solidFill>
                <a:srgbClr val="E17055"/>
              </a:solidFill>
              <a:ln>
                <a:prstDash val="solid"/>
              </a:ln>
            </spPr>
          </dPt>
          <dPt>
            <idx val="3"/>
            <spPr>
              <a:solidFill>
                <a:srgbClr val="6C5CE7"/>
              </a:solidFill>
              <a:ln>
                <a:prstDash val="solid"/>
              </a:ln>
            </spPr>
          </dPt>
          <dPt>
            <idx val="4"/>
            <spPr>
              <a:solidFill>
                <a:srgbClr val="00CEC9"/>
              </a:solidFill>
              <a:ln>
                <a:prstDash val="solid"/>
              </a:ln>
            </spPr>
          </dPt>
          <dPt>
            <idx val="5"/>
            <spPr>
              <a:solidFill>
                <a:srgbClr val="FD79A8"/>
              </a:solidFill>
              <a:ln>
                <a:prstDash val="solid"/>
              </a:ln>
            </spPr>
          </dPt>
          <dPt>
            <idx val="6"/>
            <spPr>
              <a:solidFill>
                <a:srgbClr val="FDCB6E"/>
              </a:solidFill>
              <a:ln>
                <a:prstDash val="solid"/>
              </a:ln>
            </spPr>
          </dPt>
          <dPt>
            <idx val="7"/>
            <spPr>
              <a:solidFill>
                <a:srgbClr val="D63031"/>
              </a:solidFill>
              <a:ln>
                <a:prstDash val="solid"/>
              </a:ln>
            </spPr>
          </dPt>
          <dPt>
            <idx val="8"/>
            <spPr>
              <a:solidFill>
                <a:srgbClr val="5352ED"/>
              </a:solidFill>
              <a:ln>
                <a:prstDash val="solid"/>
              </a:ln>
            </spPr>
          </dPt>
          <dPt>
            <idx val="9"/>
            <spPr>
              <a:solidFill>
                <a:srgbClr val="00897B"/>
              </a:solidFill>
              <a:ln>
                <a:prstDash val="solid"/>
              </a:ln>
            </spPr>
          </dPt>
          <dPt>
            <idx val="10"/>
            <spPr>
              <a:solidFill>
                <a:srgbClr val="E84393"/>
              </a:solidFill>
              <a:ln>
                <a:prstDash val="solid"/>
              </a:ln>
            </spPr>
          </dPt>
          <dPt>
            <idx val="11"/>
            <spPr>
              <a:solidFill>
                <a:srgbClr val="00B4D8"/>
              </a:solidFill>
              <a:ln>
                <a:prstDash val="solid"/>
              </a:ln>
            </spPr>
          </dPt>
          <cat>
            <numRef>
              <f>'Flujo de Caja'!$A$41:$A$46</f>
            </numRef>
          </cat>
          <val>
            <numRef>
              <f>'Flujo de Caja'!$B$41:$B$46</f>
            </numRef>
          </val>
        </ser>
        <dLbls>
          <showVal val="0"/>
          <showCatName val="1"/>
          <showPercent val="1"/>
        </dLbls>
        <firstSliceAng val="0"/>
      </pieChart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Relationship Type="http://schemas.openxmlformats.org/officeDocument/2006/relationships/chart" Target="/xl/charts/chart3.xml" Id="rId3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23</row>
      <rowOff>0</rowOff>
    </from>
    <ext cx="6480000" cy="396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9</col>
      <colOff>0</colOff>
      <row>23</row>
      <rowOff>0</rowOff>
    </from>
    <ext cx="6480000" cy="396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  <oneCellAnchor>
    <from>
      <col>3</col>
      <colOff>0</colOff>
      <row>39</row>
      <rowOff>0</rowOff>
    </from>
    <ext cx="5040000" cy="3600000"/>
    <graphicFrame>
      <nvGraphicFramePr>
        <cNvPr id="3" name="Chart 3"/>
        <cNvGraphicFramePr/>
      </nvGraphicFramePr>
      <xfrm/>
      <a:graphic>
        <a:graphicData uri="http://schemas.openxmlformats.org/drawingml/2006/chart">
          <c:chart r:id="rId3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tabColor rgb="00FDCB6E"/>
    <outlinePr summaryBelow="1" summaryRight="1"/>
    <pageSetUpPr/>
  </sheetPr>
  <dimension ref="A1:H46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</cols>
  <sheetData>
    <row r="1" ht="45" customHeight="1">
      <c r="A1" s="1" t="inlineStr">
        <is>
          <t>FLUJO DE CAJA — JARDINERO</t>
        </is>
      </c>
    </row>
    <row r="2" ht="28" customHeight="1">
      <c r="A2" s="2" t="inlineStr">
        <is>
          <t>Proyeccion a 12 meses con analisis de punto de equilibrio</t>
        </is>
      </c>
    </row>
    <row r="4">
      <c r="A4" s="3" t="inlineStr">
        <is>
          <t>SALDO INICIAL S/</t>
        </is>
      </c>
      <c r="C4" s="4" t="inlineStr">
        <is>
          <t>INGRESOS PROY. S/</t>
        </is>
      </c>
      <c r="E4" s="5" t="inlineStr">
        <is>
          <t>EGRESOS PROY. S/</t>
        </is>
      </c>
      <c r="G4" s="6" t="inlineStr">
        <is>
          <t>SALDO FINAL S/</t>
        </is>
      </c>
    </row>
    <row r="5" ht="32" customHeight="1">
      <c r="A5" s="7" t="n">
        <v>12000</v>
      </c>
      <c r="C5" s="8" t="n">
        <v>292000</v>
      </c>
      <c r="E5" s="9" t="n">
        <v>182500</v>
      </c>
      <c r="G5" s="10" t="n">
        <v>121500</v>
      </c>
    </row>
    <row r="8" ht="30" customHeight="1">
      <c r="A8" s="11" t="inlineStr">
        <is>
          <t xml:space="preserve">  PROYECCION MENSUAL</t>
        </is>
      </c>
    </row>
    <row r="9">
      <c r="A9" s="12" t="inlineStr">
        <is>
          <t>MES</t>
        </is>
      </c>
      <c r="B9" s="12" t="inlineStr">
        <is>
          <t>INGRESOS</t>
        </is>
      </c>
      <c r="C9" s="12" t="inlineStr">
        <is>
          <t>EGRESOS</t>
        </is>
      </c>
      <c r="D9" s="12" t="inlineStr">
        <is>
          <t>FLUJO NETO</t>
        </is>
      </c>
      <c r="E9" s="12" t="inlineStr">
        <is>
          <t>SALDO ACUM.</t>
        </is>
      </c>
      <c r="F9" s="12" t="inlineStr">
        <is>
          <t>IGV 18%</t>
        </is>
      </c>
      <c r="G9" s="12" t="inlineStr">
        <is>
          <t>RENTA 1.5%</t>
        </is>
      </c>
      <c r="H9" s="12" t="inlineStr">
        <is>
          <t>DISPONIBLE</t>
        </is>
      </c>
    </row>
    <row r="10">
      <c r="A10" s="13" t="inlineStr">
        <is>
          <t>Enero</t>
        </is>
      </c>
      <c r="B10" s="14" t="n">
        <v>26259</v>
      </c>
      <c r="C10" s="14" t="n">
        <v>15699</v>
      </c>
      <c r="D10" s="14">
        <f>B10-C10</f>
        <v/>
      </c>
      <c r="E10" s="14">
        <f>D10+12000</f>
        <v/>
      </c>
      <c r="F10" s="14">
        <f>B10*0.18</f>
        <v/>
      </c>
      <c r="G10" s="14">
        <f>B10*0.015</f>
        <v/>
      </c>
      <c r="H10" s="14">
        <f>E10-F10-G10</f>
        <v/>
      </c>
    </row>
    <row r="11">
      <c r="A11" s="15" t="inlineStr">
        <is>
          <t>Febrero</t>
        </is>
      </c>
      <c r="B11" s="16" t="n">
        <v>23655</v>
      </c>
      <c r="C11" s="16" t="n">
        <v>14012</v>
      </c>
      <c r="D11" s="16">
        <f>B11-C11</f>
        <v/>
      </c>
      <c r="E11" s="16">
        <f>E10+D11</f>
        <v/>
      </c>
      <c r="F11" s="16">
        <f>B11*0.18</f>
        <v/>
      </c>
      <c r="G11" s="16">
        <f>B11*0.015</f>
        <v/>
      </c>
      <c r="H11" s="16">
        <f>E11-F11-G11</f>
        <v/>
      </c>
    </row>
    <row r="12">
      <c r="A12" s="13" t="inlineStr">
        <is>
          <t>Marzo</t>
        </is>
      </c>
      <c r="B12" s="14" t="n">
        <v>22241</v>
      </c>
      <c r="C12" s="14" t="n">
        <v>15116</v>
      </c>
      <c r="D12" s="14">
        <f>B12-C12</f>
        <v/>
      </c>
      <c r="E12" s="14">
        <f>E11+D12</f>
        <v/>
      </c>
      <c r="F12" s="14">
        <f>B12*0.18</f>
        <v/>
      </c>
      <c r="G12" s="14">
        <f>B12*0.015</f>
        <v/>
      </c>
      <c r="H12" s="14">
        <f>E12-F12-G12</f>
        <v/>
      </c>
    </row>
    <row r="13">
      <c r="A13" s="15" t="inlineStr">
        <is>
          <t>Abril</t>
        </is>
      </c>
      <c r="B13" s="16" t="n">
        <v>26416</v>
      </c>
      <c r="C13" s="16" t="n">
        <v>16537</v>
      </c>
      <c r="D13" s="16">
        <f>B13-C13</f>
        <v/>
      </c>
      <c r="E13" s="16">
        <f>E12+D13</f>
        <v/>
      </c>
      <c r="F13" s="16">
        <f>B13*0.18</f>
        <v/>
      </c>
      <c r="G13" s="16">
        <f>B13*0.015</f>
        <v/>
      </c>
      <c r="H13" s="16">
        <f>E13-F13-G13</f>
        <v/>
      </c>
    </row>
    <row r="14">
      <c r="A14" s="13" t="inlineStr">
        <is>
          <t>Mayo</t>
        </is>
      </c>
      <c r="B14" s="14" t="n">
        <v>19582</v>
      </c>
      <c r="C14" s="14" t="n">
        <v>15586</v>
      </c>
      <c r="D14" s="14">
        <f>B14-C14</f>
        <v/>
      </c>
      <c r="E14" s="14">
        <f>E13+D14</f>
        <v/>
      </c>
      <c r="F14" s="14">
        <f>B14*0.18</f>
        <v/>
      </c>
      <c r="G14" s="14">
        <f>B14*0.015</f>
        <v/>
      </c>
      <c r="H14" s="14">
        <f>E14-F14-G14</f>
        <v/>
      </c>
    </row>
    <row r="15">
      <c r="A15" s="15" t="inlineStr">
        <is>
          <t>Junio</t>
        </is>
      </c>
      <c r="B15" s="16" t="n">
        <v>21753</v>
      </c>
      <c r="C15" s="16" t="n">
        <v>12673</v>
      </c>
      <c r="D15" s="16">
        <f>B15-C15</f>
        <v/>
      </c>
      <c r="E15" s="16">
        <f>E14+D15</f>
        <v/>
      </c>
      <c r="F15" s="16">
        <f>B15*0.18</f>
        <v/>
      </c>
      <c r="G15" s="16">
        <f>B15*0.015</f>
        <v/>
      </c>
      <c r="H15" s="16">
        <f>E15-F15-G15</f>
        <v/>
      </c>
    </row>
    <row r="16">
      <c r="A16" s="13" t="inlineStr">
        <is>
          <t>Julio</t>
        </is>
      </c>
      <c r="B16" s="14" t="n">
        <v>23772</v>
      </c>
      <c r="C16" s="14" t="n">
        <v>14118</v>
      </c>
      <c r="D16" s="14">
        <f>B16-C16</f>
        <v/>
      </c>
      <c r="E16" s="14">
        <f>E15+D16</f>
        <v/>
      </c>
      <c r="F16" s="14">
        <f>B16*0.18</f>
        <v/>
      </c>
      <c r="G16" s="14">
        <f>B16*0.015</f>
        <v/>
      </c>
      <c r="H16" s="14">
        <f>E16-F16-G16</f>
        <v/>
      </c>
    </row>
    <row r="17">
      <c r="A17" s="15" t="inlineStr">
        <is>
          <t>Agosto</t>
        </is>
      </c>
      <c r="B17" s="16" t="n">
        <v>27611</v>
      </c>
      <c r="C17" s="16" t="n">
        <v>14474</v>
      </c>
      <c r="D17" s="16">
        <f>B17-C17</f>
        <v/>
      </c>
      <c r="E17" s="16">
        <f>E16+D17</f>
        <v/>
      </c>
      <c r="F17" s="16">
        <f>B17*0.18</f>
        <v/>
      </c>
      <c r="G17" s="16">
        <f>B17*0.015</f>
        <v/>
      </c>
      <c r="H17" s="16">
        <f>E17-F17-G17</f>
        <v/>
      </c>
    </row>
    <row r="18">
      <c r="A18" s="13" t="inlineStr">
        <is>
          <t>Septiembre</t>
        </is>
      </c>
      <c r="B18" s="14" t="n">
        <v>24682</v>
      </c>
      <c r="C18" s="14" t="n">
        <v>12747</v>
      </c>
      <c r="D18" s="14">
        <f>B18-C18</f>
        <v/>
      </c>
      <c r="E18" s="14">
        <f>E17+D18</f>
        <v/>
      </c>
      <c r="F18" s="14">
        <f>B18*0.18</f>
        <v/>
      </c>
      <c r="G18" s="14">
        <f>B18*0.015</f>
        <v/>
      </c>
      <c r="H18" s="14">
        <f>E18-F18-G18</f>
        <v/>
      </c>
    </row>
    <row r="19">
      <c r="A19" s="15" t="inlineStr">
        <is>
          <t>Octubre</t>
        </is>
      </c>
      <c r="B19" s="16" t="n">
        <v>28224</v>
      </c>
      <c r="C19" s="16" t="n">
        <v>16018</v>
      </c>
      <c r="D19" s="16">
        <f>B19-C19</f>
        <v/>
      </c>
      <c r="E19" s="16">
        <f>E18+D19</f>
        <v/>
      </c>
      <c r="F19" s="16">
        <f>B19*0.18</f>
        <v/>
      </c>
      <c r="G19" s="16">
        <f>B19*0.015</f>
        <v/>
      </c>
      <c r="H19" s="16">
        <f>E19-F19-G19</f>
        <v/>
      </c>
    </row>
    <row r="20">
      <c r="A20" s="13" t="inlineStr">
        <is>
          <t>Noviembre</t>
        </is>
      </c>
      <c r="B20" s="14" t="n">
        <v>26964</v>
      </c>
      <c r="C20" s="14" t="n">
        <v>14622</v>
      </c>
      <c r="D20" s="14">
        <f>B20-C20</f>
        <v/>
      </c>
      <c r="E20" s="14">
        <f>E19+D20</f>
        <v/>
      </c>
      <c r="F20" s="14">
        <f>B20*0.18</f>
        <v/>
      </c>
      <c r="G20" s="14">
        <f>B20*0.015</f>
        <v/>
      </c>
      <c r="H20" s="14">
        <f>E20-F20-G20</f>
        <v/>
      </c>
    </row>
    <row r="21">
      <c r="A21" s="15" t="inlineStr">
        <is>
          <t>Diciembre</t>
        </is>
      </c>
      <c r="B21" s="16" t="n">
        <v>28086</v>
      </c>
      <c r="C21" s="16" t="n">
        <v>17822</v>
      </c>
      <c r="D21" s="16">
        <f>B21-C21</f>
        <v/>
      </c>
      <c r="E21" s="16">
        <f>E20+D21</f>
        <v/>
      </c>
      <c r="F21" s="16">
        <f>B21*0.18</f>
        <v/>
      </c>
      <c r="G21" s="16">
        <f>B21*0.015</f>
        <v/>
      </c>
      <c r="H21" s="16">
        <f>E21-F21-G21</f>
        <v/>
      </c>
    </row>
    <row r="22">
      <c r="A22" s="17" t="inlineStr">
        <is>
          <t>TOTALES</t>
        </is>
      </c>
      <c r="B22" s="18">
        <f>SUM(B10:B21)</f>
        <v/>
      </c>
      <c r="C22" s="18">
        <f>SUM(C10:C21)</f>
        <v/>
      </c>
      <c r="D22" s="18">
        <f>SUM(D10:D21)</f>
        <v/>
      </c>
      <c r="F22" s="18">
        <f>SUM(F10:F21)</f>
        <v/>
      </c>
      <c r="G22" s="18">
        <f>SUM(G10:G21)</f>
        <v/>
      </c>
    </row>
    <row r="40">
      <c r="A40" s="19" t="inlineStr">
        <is>
          <t>CATEGORIA</t>
        </is>
      </c>
      <c r="B40" s="19" t="inlineStr">
        <is>
          <t>MONTO</t>
        </is>
      </c>
    </row>
    <row r="41">
      <c r="A41" t="inlineStr">
        <is>
          <t>Personal</t>
        </is>
      </c>
      <c r="B41" t="n">
        <v>63874</v>
      </c>
    </row>
    <row r="42">
      <c r="A42" t="inlineStr">
        <is>
          <t>Alquiler</t>
        </is>
      </c>
      <c r="B42" t="n">
        <v>36500</v>
      </c>
    </row>
    <row r="43">
      <c r="A43" t="inlineStr">
        <is>
          <t>Insumos</t>
        </is>
      </c>
      <c r="B43" t="n">
        <v>32850</v>
      </c>
    </row>
    <row r="44">
      <c r="A44" t="inlineStr">
        <is>
          <t>Servicios</t>
        </is>
      </c>
      <c r="B44" t="n">
        <v>21900</v>
      </c>
    </row>
    <row r="45">
      <c r="A45" t="inlineStr">
        <is>
          <t>Marketing</t>
        </is>
      </c>
      <c r="B45" t="n">
        <v>14600</v>
      </c>
    </row>
    <row r="46">
      <c r="A46" t="inlineStr">
        <is>
          <t>Otros</t>
        </is>
      </c>
      <c r="B46" t="n">
        <v>12775</v>
      </c>
    </row>
  </sheetData>
  <mergeCells count="11">
    <mergeCell ref="A4:B4"/>
    <mergeCell ref="G4:H4"/>
    <mergeCell ref="E4:F4"/>
    <mergeCell ref="A2:H2"/>
    <mergeCell ref="C5:D5"/>
    <mergeCell ref="A5:B5"/>
    <mergeCell ref="G5:H5"/>
    <mergeCell ref="E5:F5"/>
    <mergeCell ref="A1:H1"/>
    <mergeCell ref="A8:H8"/>
    <mergeCell ref="C4:D4"/>
  </mergeCells>
  <conditionalFormatting sqref="D10:D21">
    <cfRule type="cellIs" priority="1" operator="greaterThan" dxfId="0">
      <formula>0</formula>
    </cfRule>
    <cfRule type="cellIs" priority="2" operator="lessThan" dxfId="1">
      <formula>0</formula>
    </cfRule>
  </conditionalFormatting>
  <conditionalFormatting sqref="E10:E21">
    <cfRule type="colorScale" priority="3">
      <colorScale>
        <cfvo type="min"/>
        <cfvo type="percentile" val="50"/>
        <cfvo type="max"/>
        <color rgb="00FF7675"/>
        <color rgb="00FFEAA7"/>
        <color rgb="0055EFC4"/>
      </colorScale>
    </cfRule>
  </conditionalFormatting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2026-09-01T00:21:10Z</dcterms:created>
  <dcterms:modified xsi:type="dcterms:W3CDTF">2026-09-01T00:21:10Z</dcterms:modified>
</cp:coreProperties>
</file>