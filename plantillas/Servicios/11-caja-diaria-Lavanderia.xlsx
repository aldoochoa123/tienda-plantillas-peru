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<sst xmlns="http://schemas.openxmlformats.org/spreadsheetml/2006/main" count="129" uniqueCount="91">
  <si>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LAVANDERÍA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</si>
  <si>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</si>
  <si>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</si>
  <si>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</si>
  <si>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</si>
  <si>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</si>
  <si>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</si>
  <si>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</si>
  <si>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</si>
  <si>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</si>
  <si>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</si>
  <si>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</si>
  <si>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Lavado en seco</t>
  </si>
  <si>
    <t>08:30</t>
  </si>
  <si>
    <t>B001-10001</t>
  </si>
  <si>
    <t>Yape</t>
  </si>
  <si>
    <t>09:15</t>
  </si>
  <si>
    <t>B001-10002</t>
  </si>
  <si>
    <t>Plin</t>
  </si>
  <si>
    <t>Traje</t>
  </si>
  <si>
    <t>09:45</t>
  </si>
  <si>
    <t>B001-10003</t>
  </si>
  <si>
    <t>Cortina</t>
  </si>
  <si>
    <t>10:20</t>
  </si>
  <si>
    <t>B001-10004</t>
  </si>
  <si>
    <t>Tarjeta</t>
  </si>
  <si>
    <t>Cobija</t>
  </si>
  <si>
    <t>11:00</t>
  </si>
  <si>
    <t>B001-10005</t>
  </si>
  <si>
    <t>Express 24h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</si>
  <si>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</si>
  <si>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</si>
  <si>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</si>
  <si>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</si>
  <si>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</si>
  <si>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</si>
  <si>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</si>
  <si>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</si>
  <si>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</si>
  <si>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</si>
  <si>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</si>
  <si>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</si>
  <si>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</si>
  <si>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</si>
  <si>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</si>
  <si>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</si>
  <si>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</si>
  <si>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</si>
  <si>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</si>
  <si>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Lavado por kilo</t>
  </si>
  <si>
    <t>17:15</t>
  </si>
  <si>
    <t>B001-10015</t>
  </si>
  <si>
    <t>17:45</t>
  </si>
  <si>
    <t>B001-10016</t>
  </si>
  <si>
    <t>Edredón</t>
  </si>
  <si>
    <t>18:20</t>
  </si>
  <si>
    <t>B001-10017</t>
  </si>
  <si>
    <t>Planchado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</si>
  <si>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</si>
  <si>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</si>
  <si>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</si>
  <si>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</si>
  <si>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</si>
  <si>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</si>
  <si>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</si>
  <si>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</si>
  <si>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</si>
  <si>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</si>
  <si>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</si>
  <si>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</si>
  <si>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</si>
  <si>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</si>
  <si>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</si>
  <si>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</si>
  <si>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</si>
  <si>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</si>
  <si>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</si>
  <si>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</si>
  <si>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</si>
  <si>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LAVANDERÍA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</si>
  <si>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</si>
  <si>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</si>
  <si>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</si>
  <si>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</si>
  <si>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</si>
  <si>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</si>
  <si>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</si>
  <si>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</si>
  <si>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</si>
  <si>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</si>
  <si>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Lavandería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</si>
</sst>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25.88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7.58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19</v>
      </c>
      <c r="E7" s="5">
        <v>24.51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40.75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25.7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8.39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29</v>
      </c>
      <c r="E11" s="5">
        <v>37.39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29</v>
      </c>
      <c r="E12" s="7">
        <v>31.6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26</v>
      </c>
      <c r="E13" s="5">
        <v>35.78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29</v>
      </c>
      <c r="E14" s="7">
        <v>41.23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29</v>
      </c>
      <c r="E15" s="5">
        <v>13.55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22</v>
      </c>
      <c r="E16" s="7">
        <v>47.69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18</v>
      </c>
      <c r="D17" s="4" t="s">
        <v>19</v>
      </c>
      <c r="E17" s="5">
        <v>35.23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12</v>
      </c>
      <c r="E18" s="7">
        <v>18.49</v>
      </c>
      <c r="F18" s="7">
        <f>ROUND(E18/1.18*0.18,2)</f>
      </c>
      <c r="G18" s="7">
        <f>E18</f>
      </c>
    </row>
    <row r="19" spans="1:7" x14ac:dyDescent="0.25">
      <c r="A19" s="4" t="s">
        <v>47</v>
      </c>
      <c r="B19" s="4" t="s">
        <v>48</v>
      </c>
      <c r="C19" s="4" t="s">
        <v>25</v>
      </c>
      <c r="D19" s="4" t="s">
        <v>49</v>
      </c>
      <c r="E19" s="5">
        <v>38.1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22</v>
      </c>
      <c r="E20" s="7">
        <v>37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54</v>
      </c>
      <c r="E21" s="5">
        <v>48.1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57</v>
      </c>
      <c r="E22" s="7">
        <v>27.61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36</v>
      </c>
      <c r="D23" s="4" t="s">
        <v>19</v>
      </c>
      <c r="E23" s="5">
        <v>54.86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54</v>
      </c>
      <c r="E24" s="7">
        <v>44.82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2</v>
      </c>
      <c r="C5" s="5">
        <f>200*B5</f>
      </c>
    </row>
    <row r="6" spans="1:3" x14ac:dyDescent="0.25">
      <c r="A6" s="6" t="s">
        <v>68</v>
      </c>
      <c r="B6" s="9">
        <v>2</v>
      </c>
      <c r="C6" s="7">
        <f>100*B6</f>
      </c>
    </row>
    <row r="7" spans="1:3" x14ac:dyDescent="0.25">
      <c r="A7" s="4" t="s">
        <v>69</v>
      </c>
      <c r="B7" s="8">
        <v>2</v>
      </c>
      <c r="C7" s="5">
        <f>50*B7</f>
      </c>
    </row>
    <row r="8" spans="1:3" x14ac:dyDescent="0.25">
      <c r="A8" s="6" t="s">
        <v>70</v>
      </c>
      <c r="B8" s="9">
        <v>6</v>
      </c>
      <c r="C8" s="7">
        <f>20*B8</f>
      </c>
    </row>
    <row r="9" spans="1:3" x14ac:dyDescent="0.25">
      <c r="A9" s="4" t="s">
        <v>71</v>
      </c>
      <c r="B9" s="8">
        <v>17</v>
      </c>
      <c r="C9" s="5">
        <f>10*B9</f>
      </c>
    </row>
    <row r="10" spans="1:3" x14ac:dyDescent="0.25">
      <c r="A10" s="6" t="s">
        <v>72</v>
      </c>
      <c r="B10" s="9">
        <v>10</v>
      </c>
      <c r="C10" s="7">
        <f>5*B10</f>
      </c>
    </row>
    <row r="11" spans="1:3" x14ac:dyDescent="0.25">
      <c r="A11" s="4" t="s">
        <v>73</v>
      </c>
      <c r="B11" s="8">
        <v>6</v>
      </c>
      <c r="C11" s="5">
        <f>2*B11</f>
      </c>
    </row>
    <row r="12" spans="1:3" x14ac:dyDescent="0.25">
      <c r="A12" s="6" t="s">
        <v>74</v>
      </c>
      <c r="B12" s="9">
        <v>19</v>
      </c>
      <c r="C12" s="7">
        <f>1*B12</f>
      </c>
    </row>
    <row r="13" spans="1:3" x14ac:dyDescent="0.25">
      <c r="A13" s="4" t="s">
        <v>75</v>
      </c>
      <c r="B13" s="8">
        <v>14</v>
      </c>
      <c r="C13" s="5">
        <f>0.5*B13</f>
      </c>
    </row>
    <row r="14" spans="1:3" x14ac:dyDescent="0.25">
      <c r="A14" s="6" t="s">
        <v>76</v>
      </c>
      <c r="B14" s="9">
        <v>16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{046B692D-AEC9-4D2C-B0AD-BD4BF5615E1C}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6B692D-AEC9-4D2C-B0AD-BD4BF5615E1C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