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<sst xmlns="http://schemas.openxmlformats.org/spreadsheetml/2006/main" count="174" uniqueCount="67">
  <si>
    <t>REGISTRO DE GASTOS — GIMNASIO</t>
  </si>
  <si>
    <t>Controla cada gasto con categoría, proveedor y crédito fiscal</t>
  </si>
  <si>
    <t>Fecha</t>
  </si>
  <si>
    <t>Categoría</t>
  </si>
  <si>
    <t>Descripción</t>
  </si>
  <si>
    <t>Comprobante</t>
  </si>
  <si>
    <t>RUC Proveedor</t>
  </si>
  <si>
    <t>Subtotal</t>
  </si>
  <si>
    <t>IGV 18%</t>
  </si>
  <si>
    <t>Total</t>
  </si>
  <si>
    <t>Mes</t>
  </si>
  <si>
    <t>Detalle</t>
  </si>
  <si>
    <t>Insumos</t>
  </si>
  <si>
    <t>Compra de mercadería</t>
  </si>
  <si>
    <t>Factura</t>
  </si>
  <si>
    <t/>
  </si>
  <si>
    <t>May</t>
  </si>
  <si>
    <t>Marketing</t>
  </si>
  <si>
    <t>Imprevisto</t>
  </si>
  <si>
    <t>20875666129</t>
  </si>
  <si>
    <t>Jun</t>
  </si>
  <si>
    <t>Sueldo personal</t>
  </si>
  <si>
    <t>20972148163</t>
  </si>
  <si>
    <t>Personal</t>
  </si>
  <si>
    <t>20298623912</t>
  </si>
  <si>
    <t>Alquiler</t>
  </si>
  <si>
    <t>Mar</t>
  </si>
  <si>
    <t>Transporte</t>
  </si>
  <si>
    <t>Alquiler mensual</t>
  </si>
  <si>
    <t>20361806235</t>
  </si>
  <si>
    <t>Ene</t>
  </si>
  <si>
    <t>Recibo de luz ENEL</t>
  </si>
  <si>
    <t>Servicios</t>
  </si>
  <si>
    <t>20621574297</t>
  </si>
  <si>
    <t>Combustible</t>
  </si>
  <si>
    <t>20125890439</t>
  </si>
  <si>
    <t>Abr</t>
  </si>
  <si>
    <t>Flete de carga</t>
  </si>
  <si>
    <t>20762319550</t>
  </si>
  <si>
    <t>Jul</t>
  </si>
  <si>
    <t>Agua SEDAPAL</t>
  </si>
  <si>
    <t>20707157578</t>
  </si>
  <si>
    <t>20311271710</t>
  </si>
  <si>
    <t>Boleta</t>
  </si>
  <si>
    <t>20445769695</t>
  </si>
  <si>
    <t>20113202257</t>
  </si>
  <si>
    <t>20628106997</t>
  </si>
  <si>
    <t>20326265566</t>
  </si>
  <si>
    <t>Internet Claro</t>
  </si>
  <si>
    <t>20553116885</t>
  </si>
  <si>
    <t>Feb</t>
  </si>
  <si>
    <t>20984023867</t>
  </si>
  <si>
    <t>RESUMEN DE GASTOS — GIMNASIO</t>
  </si>
  <si>
    <t>Distribución por categoría y crédito fiscal IGV</t>
  </si>
  <si>
    <t>TOTAL GASTOS</t>
  </si>
  <si>
    <t>IGV CRÉDITO FISCAL</t>
  </si>
  <si>
    <t>GASTOS POR CATEGORÍA</t>
  </si>
  <si>
    <t>Monto</t>
  </si>
  <si>
    <t>% del total</t>
  </si>
  <si>
    <t>Registros</t>
  </si>
  <si>
    <t>RESUMEN IGV</t>
  </si>
  <si>
    <t>Concepto</t>
  </si>
  <si>
    <t>IGV pagado (crédito fiscal)</t>
  </si>
  <si>
    <t>Total gastos con IGV</t>
  </si>
  <si>
    <t>Promedio mensual</t>
  </si>
  <si>
    <t>💡 El IGV del 18% se calcula automáticamente. Útil para la declaración mensual.</t>
  </si>
  <si>
    <t>Gimnasio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</si>
</sst>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5" customWidth="1"/>
    <col min="3" max="3" width="30" customWidth="1"/>
    <col min="4" max="4" width="12" customWidth="1"/>
    <col min="5" max="5" width="14" customWidth="1"/>
    <col min="6" max="8" width="12" customWidth="1"/>
    <col min="10" max="10" width="20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46157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627.06</v>
      </c>
      <c r="G5" s="6">
        <f>ROUND(F5*0.18,2)</f>
      </c>
      <c r="H5" s="6">
        <f>F5+G5</f>
      </c>
      <c r="I5" s="5" t="s">
        <v>16</v>
      </c>
      <c r="J5" s="5" t="s">
        <v>15</v>
      </c>
    </row>
    <row r="6" spans="1:10" x14ac:dyDescent="0.25">
      <c r="A6" s="7">
        <v>46185</v>
      </c>
      <c r="B6" s="8" t="s">
        <v>17</v>
      </c>
      <c r="C6" s="8" t="s">
        <v>18</v>
      </c>
      <c r="D6" s="8" t="s">
        <v>14</v>
      </c>
      <c r="E6" s="8" t="s">
        <v>19</v>
      </c>
      <c r="F6" s="9">
        <v>33.69</v>
      </c>
      <c r="G6" s="9">
        <f>ROUND(F6*0.18,2)</f>
      </c>
      <c r="H6" s="9">
        <f>F6+G6</f>
      </c>
      <c r="I6" s="8" t="s">
        <v>20</v>
      </c>
      <c r="J6" s="8" t="s">
        <v>15</v>
      </c>
    </row>
    <row r="7" spans="1:10" x14ac:dyDescent="0.25">
      <c r="A7" s="4">
        <v>46176</v>
      </c>
      <c r="B7" s="5" t="s">
        <v>17</v>
      </c>
      <c r="C7" s="5" t="s">
        <v>21</v>
      </c>
      <c r="D7" s="5" t="s">
        <v>14</v>
      </c>
      <c r="E7" s="5" t="s">
        <v>22</v>
      </c>
      <c r="F7" s="6">
        <v>857.39</v>
      </c>
      <c r="G7" s="6">
        <f>ROUND(F7*0.18,2)</f>
      </c>
      <c r="H7" s="6">
        <f>F7+G7</f>
      </c>
      <c r="I7" s="5" t="s">
        <v>20</v>
      </c>
      <c r="J7" s="5" t="s">
        <v>15</v>
      </c>
    </row>
    <row r="8" spans="1:10" x14ac:dyDescent="0.25">
      <c r="A8" s="7">
        <v>46150</v>
      </c>
      <c r="B8" s="8" t="s">
        <v>23</v>
      </c>
      <c r="C8" s="8" t="s">
        <v>18</v>
      </c>
      <c r="D8" s="8" t="s">
        <v>14</v>
      </c>
      <c r="E8" s="8" t="s">
        <v>24</v>
      </c>
      <c r="F8" s="9">
        <v>612.17</v>
      </c>
      <c r="G8" s="9">
        <f>ROUND(F8*0.18,2)</f>
      </c>
      <c r="H8" s="9">
        <f>F8+G8</f>
      </c>
      <c r="I8" s="8" t="s">
        <v>16</v>
      </c>
      <c r="J8" s="8" t="s">
        <v>15</v>
      </c>
    </row>
    <row r="9" spans="1:10" x14ac:dyDescent="0.25">
      <c r="A9" s="4">
        <v>46156</v>
      </c>
      <c r="B9" s="5" t="s">
        <v>23</v>
      </c>
      <c r="C9" s="5" t="s">
        <v>21</v>
      </c>
      <c r="D9" s="5" t="s">
        <v>14</v>
      </c>
      <c r="E9" s="5" t="s">
        <v>15</v>
      </c>
      <c r="F9" s="6">
        <v>413.07</v>
      </c>
      <c r="G9" s="6">
        <f>ROUND(F9*0.18,2)</f>
      </c>
      <c r="H9" s="6">
        <f>F9+G9</f>
      </c>
      <c r="I9" s="5" t="s">
        <v>16</v>
      </c>
      <c r="J9" s="5" t="s">
        <v>15</v>
      </c>
    </row>
    <row r="10" spans="1:10" x14ac:dyDescent="0.25">
      <c r="A10" s="7">
        <v>46085</v>
      </c>
      <c r="B10" s="8" t="s">
        <v>25</v>
      </c>
      <c r="C10" s="8" t="s">
        <v>13</v>
      </c>
      <c r="D10" s="8" t="s">
        <v>14</v>
      </c>
      <c r="E10" s="8" t="s">
        <v>15</v>
      </c>
      <c r="F10" s="9">
        <v>226.99</v>
      </c>
      <c r="G10" s="9">
        <f>ROUND(F10*0.18,2)</f>
      </c>
      <c r="H10" s="9">
        <f>F10+G10</f>
      </c>
      <c r="I10" s="8" t="s">
        <v>26</v>
      </c>
      <c r="J10" s="8" t="s">
        <v>15</v>
      </c>
    </row>
    <row r="11" spans="1:10" x14ac:dyDescent="0.25">
      <c r="A11" s="4">
        <v>46023</v>
      </c>
      <c r="B11" s="5" t="s">
        <v>27</v>
      </c>
      <c r="C11" s="5" t="s">
        <v>28</v>
      </c>
      <c r="D11" s="5" t="s">
        <v>14</v>
      </c>
      <c r="E11" s="5" t="s">
        <v>29</v>
      </c>
      <c r="F11" s="6">
        <v>260.22</v>
      </c>
      <c r="G11" s="6">
        <f>ROUND(F11*0.18,2)</f>
      </c>
      <c r="H11" s="6">
        <f>F11+G11</f>
      </c>
      <c r="I11" s="5" t="s">
        <v>30</v>
      </c>
      <c r="J11" s="5" t="s">
        <v>15</v>
      </c>
    </row>
    <row r="12" spans="1:10" x14ac:dyDescent="0.25">
      <c r="A12" s="7">
        <v>46151</v>
      </c>
      <c r="B12" s="8" t="s">
        <v>27</v>
      </c>
      <c r="C12" s="8" t="s">
        <v>31</v>
      </c>
      <c r="D12" s="8" t="s">
        <v>14</v>
      </c>
      <c r="E12" s="8" t="s">
        <v>15</v>
      </c>
      <c r="F12" s="9">
        <v>114.46</v>
      </c>
      <c r="G12" s="9">
        <f>ROUND(F12*0.18,2)</f>
      </c>
      <c r="H12" s="9">
        <f>F12+G12</f>
      </c>
      <c r="I12" s="8" t="s">
        <v>16</v>
      </c>
      <c r="J12" s="8" t="s">
        <v>15</v>
      </c>
    </row>
    <row r="13" spans="1:10" x14ac:dyDescent="0.25">
      <c r="A13" s="4">
        <v>46040</v>
      </c>
      <c r="B13" s="5" t="s">
        <v>32</v>
      </c>
      <c r="C13" s="5" t="s">
        <v>13</v>
      </c>
      <c r="D13" s="5" t="s">
        <v>14</v>
      </c>
      <c r="E13" s="5" t="s">
        <v>33</v>
      </c>
      <c r="F13" s="6">
        <v>73.67</v>
      </c>
      <c r="G13" s="6">
        <f>ROUND(F13*0.18,2)</f>
      </c>
      <c r="H13" s="6">
        <f>F13+G13</f>
      </c>
      <c r="I13" s="5" t="s">
        <v>30</v>
      </c>
      <c r="J13" s="5" t="s">
        <v>15</v>
      </c>
    </row>
    <row r="14" spans="1:10" x14ac:dyDescent="0.25">
      <c r="A14" s="7">
        <v>46123</v>
      </c>
      <c r="B14" s="8" t="s">
        <v>12</v>
      </c>
      <c r="C14" s="8" t="s">
        <v>34</v>
      </c>
      <c r="D14" s="8" t="s">
        <v>14</v>
      </c>
      <c r="E14" s="8" t="s">
        <v>35</v>
      </c>
      <c r="F14" s="9">
        <v>138.76</v>
      </c>
      <c r="G14" s="9">
        <f>ROUND(F14*0.18,2)</f>
      </c>
      <c r="H14" s="9">
        <f>F14+G14</f>
      </c>
      <c r="I14" s="8" t="s">
        <v>36</v>
      </c>
      <c r="J14" s="8" t="s">
        <v>15</v>
      </c>
    </row>
    <row r="15" spans="1:10" x14ac:dyDescent="0.25">
      <c r="A15" s="4">
        <v>46154</v>
      </c>
      <c r="B15" s="5" t="s">
        <v>23</v>
      </c>
      <c r="C15" s="5" t="s">
        <v>34</v>
      </c>
      <c r="D15" s="5" t="s">
        <v>14</v>
      </c>
      <c r="E15" s="5" t="s">
        <v>15</v>
      </c>
      <c r="F15" s="6">
        <v>163.43</v>
      </c>
      <c r="G15" s="6">
        <f>ROUND(F15*0.18,2)</f>
      </c>
      <c r="H15" s="6">
        <f>F15+G15</f>
      </c>
      <c r="I15" s="5" t="s">
        <v>16</v>
      </c>
      <c r="J15" s="5" t="s">
        <v>15</v>
      </c>
    </row>
    <row r="16" spans="1:10" x14ac:dyDescent="0.25">
      <c r="A16" s="7">
        <v>46218</v>
      </c>
      <c r="B16" s="8" t="s">
        <v>12</v>
      </c>
      <c r="C16" s="8" t="s">
        <v>37</v>
      </c>
      <c r="D16" s="8" t="s">
        <v>14</v>
      </c>
      <c r="E16" s="8" t="s">
        <v>38</v>
      </c>
      <c r="F16" s="9">
        <v>667.95</v>
      </c>
      <c r="G16" s="9">
        <f>ROUND(F16*0.18,2)</f>
      </c>
      <c r="H16" s="9">
        <f>F16+G16</f>
      </c>
      <c r="I16" s="8" t="s">
        <v>39</v>
      </c>
      <c r="J16" s="8" t="s">
        <v>15</v>
      </c>
    </row>
    <row r="17" spans="1:10" x14ac:dyDescent="0.25">
      <c r="A17" s="4">
        <v>46090</v>
      </c>
      <c r="B17" s="5" t="s">
        <v>23</v>
      </c>
      <c r="C17" s="5" t="s">
        <v>40</v>
      </c>
      <c r="D17" s="5" t="s">
        <v>14</v>
      </c>
      <c r="E17" s="5" t="s">
        <v>41</v>
      </c>
      <c r="F17" s="6">
        <v>307.69</v>
      </c>
      <c r="G17" s="6">
        <f>ROUND(F17*0.18,2)</f>
      </c>
      <c r="H17" s="6">
        <f>F17+G17</f>
      </c>
      <c r="I17" s="5" t="s">
        <v>26</v>
      </c>
      <c r="J17" s="5" t="s">
        <v>15</v>
      </c>
    </row>
    <row r="18" spans="1:10" x14ac:dyDescent="0.25">
      <c r="A18" s="7">
        <v>46130</v>
      </c>
      <c r="B18" s="8" t="s">
        <v>27</v>
      </c>
      <c r="C18" s="8" t="s">
        <v>34</v>
      </c>
      <c r="D18" s="8" t="s">
        <v>14</v>
      </c>
      <c r="E18" s="8" t="s">
        <v>42</v>
      </c>
      <c r="F18" s="9">
        <v>892.21</v>
      </c>
      <c r="G18" s="9">
        <f>ROUND(F18*0.18,2)</f>
      </c>
      <c r="H18" s="9">
        <f>F18+G18</f>
      </c>
      <c r="I18" s="8" t="s">
        <v>36</v>
      </c>
      <c r="J18" s="8" t="s">
        <v>15</v>
      </c>
    </row>
    <row r="19" spans="1:10" x14ac:dyDescent="0.25">
      <c r="A19" s="4">
        <v>46127</v>
      </c>
      <c r="B19" s="5" t="s">
        <v>25</v>
      </c>
      <c r="C19" s="5" t="s">
        <v>34</v>
      </c>
      <c r="D19" s="5" t="s">
        <v>43</v>
      </c>
      <c r="E19" s="5" t="s">
        <v>44</v>
      </c>
      <c r="F19" s="6">
        <v>811.46</v>
      </c>
      <c r="G19" s="6">
        <f>ROUND(F19*0.18,2)</f>
      </c>
      <c r="H19" s="6">
        <f>F19+G19</f>
      </c>
      <c r="I19" s="5" t="s">
        <v>36</v>
      </c>
      <c r="J19" s="5" t="s">
        <v>15</v>
      </c>
    </row>
    <row r="20" spans="1:10" x14ac:dyDescent="0.25">
      <c r="A20" s="7">
        <v>46128</v>
      </c>
      <c r="B20" s="8" t="s">
        <v>17</v>
      </c>
      <c r="C20" s="8" t="s">
        <v>34</v>
      </c>
      <c r="D20" s="8" t="s">
        <v>43</v>
      </c>
      <c r="E20" s="8" t="s">
        <v>45</v>
      </c>
      <c r="F20" s="9">
        <v>815.28</v>
      </c>
      <c r="G20" s="9">
        <f>ROUND(F20*0.18,2)</f>
      </c>
      <c r="H20" s="9">
        <f>F20+G20</f>
      </c>
      <c r="I20" s="8" t="s">
        <v>36</v>
      </c>
      <c r="J20" s="8" t="s">
        <v>15</v>
      </c>
    </row>
    <row r="21" spans="1:10" x14ac:dyDescent="0.25">
      <c r="A21" s="4">
        <v>46107</v>
      </c>
      <c r="B21" s="5" t="s">
        <v>12</v>
      </c>
      <c r="C21" s="5" t="s">
        <v>34</v>
      </c>
      <c r="D21" s="5" t="s">
        <v>43</v>
      </c>
      <c r="E21" s="5" t="s">
        <v>46</v>
      </c>
      <c r="F21" s="6">
        <v>99.98</v>
      </c>
      <c r="G21" s="6">
        <f>ROUND(F21*0.18,2)</f>
      </c>
      <c r="H21" s="6">
        <f>F21+G21</f>
      </c>
      <c r="I21" s="5" t="s">
        <v>26</v>
      </c>
      <c r="J21" s="5" t="s">
        <v>15</v>
      </c>
    </row>
    <row r="22" spans="1:10" x14ac:dyDescent="0.25">
      <c r="A22" s="7">
        <v>46213</v>
      </c>
      <c r="B22" s="8" t="s">
        <v>23</v>
      </c>
      <c r="C22" s="8" t="s">
        <v>31</v>
      </c>
      <c r="D22" s="8" t="s">
        <v>14</v>
      </c>
      <c r="E22" s="8" t="s">
        <v>47</v>
      </c>
      <c r="F22" s="9">
        <v>91.67</v>
      </c>
      <c r="G22" s="9">
        <f>ROUND(F22*0.18,2)</f>
      </c>
      <c r="H22" s="9">
        <f>F22+G22</f>
      </c>
      <c r="I22" s="8" t="s">
        <v>39</v>
      </c>
      <c r="J22" s="8" t="s">
        <v>15</v>
      </c>
    </row>
    <row r="23" spans="1:10" x14ac:dyDescent="0.25">
      <c r="A23" s="4">
        <v>46040</v>
      </c>
      <c r="B23" s="5" t="s">
        <v>25</v>
      </c>
      <c r="C23" s="5" t="s">
        <v>48</v>
      </c>
      <c r="D23" s="5" t="s">
        <v>14</v>
      </c>
      <c r="E23" s="5" t="s">
        <v>49</v>
      </c>
      <c r="F23" s="6">
        <v>209.16</v>
      </c>
      <c r="G23" s="6">
        <f>ROUND(F23*0.18,2)</f>
      </c>
      <c r="H23" s="6">
        <f>F23+G23</f>
      </c>
      <c r="I23" s="5" t="s">
        <v>30</v>
      </c>
      <c r="J23" s="5" t="s">
        <v>15</v>
      </c>
    </row>
    <row r="24" spans="1:10" x14ac:dyDescent="0.25">
      <c r="A24" s="7">
        <v>46055</v>
      </c>
      <c r="B24" s="8" t="s">
        <v>27</v>
      </c>
      <c r="C24" s="8" t="s">
        <v>31</v>
      </c>
      <c r="D24" s="8" t="s">
        <v>14</v>
      </c>
      <c r="E24" s="8" t="s">
        <v>15</v>
      </c>
      <c r="F24" s="9">
        <v>650.83</v>
      </c>
      <c r="G24" s="9">
        <f>ROUND(F24*0.18,2)</f>
      </c>
      <c r="H24" s="9">
        <f>F24+G24</f>
      </c>
      <c r="I24" s="8" t="s">
        <v>50</v>
      </c>
      <c r="J24" s="8" t="s">
        <v>15</v>
      </c>
    </row>
    <row r="25" spans="1:10" x14ac:dyDescent="0.25">
      <c r="A25" s="4">
        <v>46060</v>
      </c>
      <c r="B25" s="5" t="s">
        <v>25</v>
      </c>
      <c r="C25" s="5" t="s">
        <v>31</v>
      </c>
      <c r="D25" s="5" t="s">
        <v>14</v>
      </c>
      <c r="E25" s="5" t="s">
        <v>51</v>
      </c>
      <c r="F25" s="6">
        <v>877.78</v>
      </c>
      <c r="G25" s="6">
        <f>ROUND(F25*0.18,2)</f>
      </c>
      <c r="H25" s="6">
        <f>F25+G25</f>
      </c>
      <c r="I25" s="5" t="s">
        <v>50</v>
      </c>
      <c r="J25" s="5" t="s">
        <v>15</v>
      </c>
    </row>
    <row r="26" spans="1:10" x14ac:dyDescent="0.25">
      <c r="A26" s="7">
        <v>46158</v>
      </c>
      <c r="B26" s="8" t="s">
        <v>25</v>
      </c>
      <c r="C26" s="8" t="s">
        <v>28</v>
      </c>
      <c r="D26" s="8" t="s">
        <v>14</v>
      </c>
      <c r="E26" s="8" t="s">
        <v>15</v>
      </c>
      <c r="F26" s="9">
        <v>481.81</v>
      </c>
      <c r="G26" s="9">
        <f>ROUND(F26*0.18,2)</f>
      </c>
      <c r="H26" s="9">
        <f>F26+G26</f>
      </c>
      <c r="I26" s="8" t="s">
        <v>16</v>
      </c>
      <c r="J26" s="8" t="s">
        <v>15</v>
      </c>
    </row>
    <row r="27" spans="1:8" x14ac:dyDescent="0.25">
      <c r="A27" s="5" t="s">
        <v>15</v>
      </c>
      <c r="B27" s="5" t="s">
        <v>15</v>
      </c>
      <c r="C27" s="5" t="s">
        <v>15</v>
      </c>
      <c r="D27" s="5" t="s">
        <v>15</v>
      </c>
      <c r="E27" s="5" t="s">
        <v>15</v>
      </c>
      <c r="F27" s="6">
        <f>SUM(F5:F26)</f>
      </c>
      <c r="G27" s="6">
        <f>SUM(G5:G26)</f>
      </c>
      <c r="H27" s="6">
        <f>SUM(H5:H26)</f>
      </c>
    </row>
  </sheetData>
  <autoFilter ref="A4:J26"/>
  <mergeCells count="2">
    <mergeCell ref="A1:J1"/>
    <mergeCell ref="A2:J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 showGridLines="0"/>
  </sheetViews>
  <sheetFormatPr defaultRowHeight="15" outlineLevelRow="0" outlineLevelCol="0" x14ac:dyDescent="55"/>
  <cols>
    <col min="1" max="1" width="16" customWidth="1"/>
    <col min="2" max="6" width="14" customWidth="1"/>
  </cols>
  <sheetData>
    <row r="1" ht="32" customHeight="1" spans="1:7" x14ac:dyDescent="0.25">
      <c r="A1" s="1" t="s">
        <v>52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53</v>
      </c>
      <c r="B2" s="2"/>
      <c r="C2" s="2"/>
      <c r="D2" s="2"/>
      <c r="E2" s="2"/>
      <c r="F2" s="2"/>
      <c r="G2" s="2"/>
    </row>
    <row r="4" spans="1:6" x14ac:dyDescent="0.25">
      <c r="A4" s="10" t="s">
        <v>54</v>
      </c>
      <c r="B4" s="10"/>
      <c r="C4" s="10"/>
      <c r="D4" s="11" t="s">
        <v>55</v>
      </c>
      <c r="E4" s="11"/>
      <c r="F4" s="11"/>
    </row>
    <row r="5" ht="24" customHeight="1" spans="1:6" x14ac:dyDescent="0.25">
      <c r="A5" s="12">
        <f>SUM(Registro!H5:H26)</f>
      </c>
      <c r="B5" s="12"/>
      <c r="C5" s="12"/>
      <c r="D5" s="13">
        <f>SUM(Registro!G5:G26)</f>
      </c>
      <c r="E5" s="13"/>
      <c r="F5" s="13"/>
    </row>
    <row r="6" spans="1:6" x14ac:dyDescent="0.25">
      <c r="A6" s="14" t="s">
        <v>15</v>
      </c>
      <c r="B6" s="14"/>
      <c r="C6" s="14"/>
      <c r="D6" s="14" t="s">
        <v>15</v>
      </c>
      <c r="E6" s="14"/>
      <c r="F6" s="14"/>
    </row>
    <row r="8" spans="1:1" x14ac:dyDescent="0.25">
      <c r="A8" s="15" t="s">
        <v>56</v>
      </c>
    </row>
    <row r="9" ht="22" customHeight="1" spans="1:4" x14ac:dyDescent="0.25">
      <c r="A9" s="3" t="s">
        <v>3</v>
      </c>
      <c r="B9" s="3" t="s">
        <v>57</v>
      </c>
      <c r="C9" s="3" t="s">
        <v>58</v>
      </c>
      <c r="D9" s="3" t="s">
        <v>59</v>
      </c>
    </row>
    <row r="10" spans="1:4" x14ac:dyDescent="0.25">
      <c r="A10" s="5" t="s">
        <v>12</v>
      </c>
      <c r="B10" s="6">
        <f>SUMIF(Registro!$B:$B,A10,Registro!$H:$H)</f>
      </c>
      <c r="C10" s="16">
        <f>IF(SUM(Registro!$H$5:$H$26)=0,0,B10/SUM(Registro!$H$5:$H$26))</f>
      </c>
      <c r="D10" s="17">
        <f>COUNTIF(Registro!$B:$B,A10)</f>
      </c>
    </row>
    <row r="11" spans="1:4" x14ac:dyDescent="0.25">
      <c r="A11" s="8" t="s">
        <v>25</v>
      </c>
      <c r="B11" s="9">
        <f>SUMIF(Registro!$B:$B,A11,Registro!$H:$H)</f>
      </c>
      <c r="C11" s="18">
        <f>IF(SUM(Registro!$H$5:$H$26)=0,0,B11/SUM(Registro!$H$5:$H$26))</f>
      </c>
      <c r="D11" s="19">
        <f>COUNTIF(Registro!$B:$B,A11)</f>
      </c>
    </row>
    <row r="12" spans="1:4" x14ac:dyDescent="0.25">
      <c r="A12" s="5" t="s">
        <v>32</v>
      </c>
      <c r="B12" s="6">
        <f>SUMIF(Registro!$B:$B,A12,Registro!$H:$H)</f>
      </c>
      <c r="C12" s="16">
        <f>IF(SUM(Registro!$H$5:$H$26)=0,0,B12/SUM(Registro!$H$5:$H$26))</f>
      </c>
      <c r="D12" s="17">
        <f>COUNTIF(Registro!$B:$B,A12)</f>
      </c>
    </row>
    <row r="13" spans="1:4" x14ac:dyDescent="0.25">
      <c r="A13" s="8" t="s">
        <v>23</v>
      </c>
      <c r="B13" s="9">
        <f>SUMIF(Registro!$B:$B,A13,Registro!$H:$H)</f>
      </c>
      <c r="C13" s="18">
        <f>IF(SUM(Registro!$H$5:$H$26)=0,0,B13/SUM(Registro!$H$5:$H$26))</f>
      </c>
      <c r="D13" s="19">
        <f>COUNTIF(Registro!$B:$B,A13)</f>
      </c>
    </row>
    <row r="14" spans="1:4" x14ac:dyDescent="0.25">
      <c r="A14" s="5" t="s">
        <v>17</v>
      </c>
      <c r="B14" s="6">
        <f>SUMIF(Registro!$B:$B,A14,Registro!$H:$H)</f>
      </c>
      <c r="C14" s="16">
        <f>IF(SUM(Registro!$H$5:$H$26)=0,0,B14/SUM(Registro!$H$5:$H$26))</f>
      </c>
      <c r="D14" s="17">
        <f>COUNTIF(Registro!$B:$B,A14)</f>
      </c>
    </row>
    <row r="15" spans="1:4" x14ac:dyDescent="0.25">
      <c r="A15" s="8" t="s">
        <v>27</v>
      </c>
      <c r="B15" s="9">
        <f>SUMIF(Registro!$B:$B,A15,Registro!$H:$H)</f>
      </c>
      <c r="C15" s="18">
        <f>IF(SUM(Registro!$H$5:$H$26)=0,0,B15/SUM(Registro!$H$5:$H$26))</f>
      </c>
      <c r="D15" s="19">
        <f>COUNTIF(Registro!$B:$B,A15)</f>
      </c>
    </row>
    <row r="18" spans="1:1" x14ac:dyDescent="0.25">
      <c r="A18" s="15" t="s">
        <v>60</v>
      </c>
    </row>
    <row r="19" ht="22" customHeight="1" spans="1:2" x14ac:dyDescent="0.25">
      <c r="A19" s="3" t="s">
        <v>61</v>
      </c>
      <c r="B19" s="3" t="s">
        <v>57</v>
      </c>
    </row>
    <row r="20" spans="1:2" x14ac:dyDescent="0.25">
      <c r="A20" s="5" t="s">
        <v>62</v>
      </c>
      <c r="B20" s="6">
        <f>SUM(Registro!G5:G26)</f>
      </c>
    </row>
    <row r="21" spans="1:2" x14ac:dyDescent="0.25">
      <c r="A21" s="5" t="s">
        <v>63</v>
      </c>
      <c r="B21" s="6">
        <f>SUM(Registro!H5:H26)</f>
      </c>
    </row>
    <row r="22" spans="1:2" x14ac:dyDescent="0.25">
      <c r="A22" s="5" t="s">
        <v>64</v>
      </c>
      <c r="B22" s="6">
        <f>SUM(Registro!H5:H26)/7</f>
      </c>
    </row>
    <row r="24" spans="1:1" x14ac:dyDescent="0.25">
      <c r="A24" s="20" t="s">
        <v>65</v>
      </c>
    </row>
    <row r="26" spans="1:7" x14ac:dyDescent="0.25">
      <c r="A26" s="21" t="s">
        <v>66</v>
      </c>
      <c r="B26" s="21"/>
      <c r="C26" s="21"/>
      <c r="D26" s="21"/>
      <c r="E26" s="21"/>
      <c r="F26" s="21"/>
      <c r="G26" s="21"/>
    </row>
  </sheetData>
  <mergeCells count="9">
    <mergeCell ref="A1:G1"/>
    <mergeCell ref="A2:G2"/>
    <mergeCell ref="A4:C4"/>
    <mergeCell ref="D4:F4"/>
    <mergeCell ref="A5:C5"/>
    <mergeCell ref="D5:F5"/>
    <mergeCell ref="A6:C6"/>
    <mergeCell ref="D6:F6"/>
    <mergeCell ref="A26:G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{A27806D6-7F3E-4A75-8931-BB3ED1A3F66F}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7806D6-7F3E-4A75-8931-BB3ED1A3F66F}">
            <x14:dataBar minLength="0" maxLength="100">
              <x14:cfvo type="min"/>
              <x14:cfvo type="max"/>
            </x14:dataBar>
          </x14:cfRule>
          <xm:sqref>B10:B15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Registro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