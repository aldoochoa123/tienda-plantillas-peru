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lujo de Caja" state="visible" r:id="rId4"/>
    <sheet sheetId="2" name="Movimientos" state="visible" r:id="rId5"/>
  </sheets>
  <calcPr calcId="171027"/>
</workbook>
</file>

<file path=xl/sharedStrings.xml><?xml version="1.0" encoding="utf-8"?>
<sst xmlns="http://schemas.openxmlformats.org/spreadsheetml/2006/main" count="88" uniqueCount="42">
  <si>
    <t>FLUJO DE CAJA MENSUAL — SERVICIO DE LIMPIEZA</t>
  </si>
  <si>
    <t>Sigue el dinero disponible mes a mes, todo calculado</t>
  </si>
  <si>
    <t>ENTRADAS DEL AÑO</t>
  </si>
  <si>
    <t>SALIDAS DEL AÑO</t>
  </si>
  <si>
    <t/>
  </si>
  <si>
    <t>COMPORTAMIENTO MENSUAL PROYECTADO</t>
  </si>
  <si>
    <t>Mes</t>
  </si>
  <si>
    <t>Saldo Inicial</t>
  </si>
  <si>
    <t>Entradas</t>
  </si>
  <si>
    <t>Salidas</t>
  </si>
  <si>
    <t>Saldo Final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</si>
  <si>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</si>
  <si>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</si>
  <si>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</si>
  <si>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</si>
  <si>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</si>
  <si>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</si>
  <si>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</si>
  <si>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</si>
  <si>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</si>
  <si>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</si>
  <si>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</si>
  <si>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</si>
  <si>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💡 Regla de oro: si tu saldo final proyectado baja de S/ 500, reduce gastos o adelanta cobros.</t>
  </si>
  <si>
    <t>Servicio de Limpieza · Plantilla profesional Pack Perú</t>
  </si>
  <si>
    <t>MOVIMIENTOS DE DINERO — SERVICIO DE LIMPIEZA</t>
  </si>
  <si>
    <t>Registra cada entrada y salida de efectivo</t>
  </si>
  <si>
    <t>Fecha</t>
  </si>
  <si>
    <t>Tipo</t>
  </si>
  <si>
    <t>Concepto</t>
  </si>
  <si>
    <t>Monto</t>
  </si>
  <si>
    <t>Egreso</t>
  </si>
  <si>
    <t>Luz y agua</t>
  </si>
  <si>
    <t>Ingreso</t>
  </si>
  <si>
    <t>Yape recibido</t>
  </si>
  <si>
    <t>Alquiler</t>
  </si>
  <si>
    <t>Venta del día</t>
  </si>
  <si>
    <t>Transferencia recibida</t>
  </si>
  <si>
    <t>Cobro a cliente</t>
  </si>
  <si>
    <t>Combustible</t>
  </si>
  <si>
    <t>Reposición de mercadería</t>
  </si>
  <si>
    <t>Pago a proveedor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</si>
</sst>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dd/mm/yyyy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color rgb="FF1A2E24"/>
      <sz val="11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DC2626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164" fontId="4" fillId="5" borderId="0" xfId="0" applyNumberFormat="1" applyFont="1" applyFill="1" applyAlignment="1">
      <alignment horizontal="center" vertical="center"/>
    </xf>
    <xf numFmtId="164" fontId="5" fillId="5" borderId="0" xfId="0" applyNumberFormat="1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8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165" fontId="6" fillId="0" borderId="1" xfId="0" applyNumberFormat="1" applyFont="1" applyBorder="1" applyAlignment="1">
      <alignment horizontal="left" vertical="center"/>
    </xf>
    <xf numFmtId="165" fontId="6" fillId="5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5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 showGridLines="0"/>
  </sheetViews>
  <sheetFormatPr defaultRowHeight="15" outlineLevelRow="0" outlineLevelCol="0" x14ac:dyDescent="55"/>
  <cols>
    <col min="1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4" t="s">
        <v>3</v>
      </c>
      <c r="E4" s="4"/>
      <c r="F4" s="4"/>
    </row>
    <row r="5" ht="24" customHeight="1" spans="1:6" x14ac:dyDescent="0.25">
      <c r="A5" s="5">
        <f>SUMIF(Movimientos!B:B,"Ingreso",Movimientos!D:D)</f>
      </c>
      <c r="B5" s="5"/>
      <c r="C5" s="5"/>
      <c r="D5" s="6">
        <f>SUMIF(Movimientos!B:B,"Egreso",Movimientos!D:D)</f>
      </c>
      <c r="E5" s="6"/>
      <c r="F5" s="6"/>
    </row>
    <row r="6" spans="1:6" x14ac:dyDescent="0.25">
      <c r="A6" s="7" t="s">
        <v>4</v>
      </c>
      <c r="B6" s="7"/>
      <c r="C6" s="7"/>
      <c r="D6" s="7" t="s">
        <v>4</v>
      </c>
      <c r="E6" s="7"/>
      <c r="F6" s="7"/>
    </row>
    <row r="8" spans="1:1" x14ac:dyDescent="0.25">
      <c r="A8" s="8" t="s">
        <v>5</v>
      </c>
    </row>
    <row r="9" ht="22" customHeight="1" spans="1:5" x14ac:dyDescent="0.25">
      <c r="A9" s="9" t="s">
        <v>6</v>
      </c>
      <c r="B9" s="9" t="s">
        <v>7</v>
      </c>
      <c r="C9" s="9" t="s">
        <v>8</v>
      </c>
      <c r="D9" s="9" t="s">
        <v>9</v>
      </c>
      <c r="E9" s="9" t="s">
        <v>10</v>
      </c>
    </row>
    <row r="10" spans="1:5" x14ac:dyDescent="0.25">
      <c r="A10" s="10" t="s">
        <v>11</v>
      </c>
      <c r="B10" s="11">
        <v>1800</v>
      </c>
      <c r="C10" s="11">
        <v>3729.78</v>
      </c>
      <c r="D10" s="11">
        <v>3307.51</v>
      </c>
      <c r="E10" s="11">
        <f>B10+C10-D10</f>
      </c>
    </row>
    <row r="11" spans="1:5" x14ac:dyDescent="0.25">
      <c r="A11" s="12" t="s">
        <v>12</v>
      </c>
      <c r="B11" s="13">
        <f>E10</f>
      </c>
      <c r="C11" s="13">
        <v>4189.44</v>
      </c>
      <c r="D11" s="13">
        <v>2758.89</v>
      </c>
      <c r="E11" s="13">
        <f>B11+C11-D11</f>
      </c>
    </row>
    <row r="12" spans="1:5" x14ac:dyDescent="0.25">
      <c r="A12" s="10" t="s">
        <v>13</v>
      </c>
      <c r="B12" s="11">
        <f>E11</f>
      </c>
      <c r="C12" s="11">
        <v>3013.97</v>
      </c>
      <c r="D12" s="11">
        <v>2024.05</v>
      </c>
      <c r="E12" s="11">
        <f>B12+C12-D12</f>
      </c>
    </row>
    <row r="13" spans="1:5" x14ac:dyDescent="0.25">
      <c r="A13" s="12" t="s">
        <v>14</v>
      </c>
      <c r="B13" s="13">
        <f>E12</f>
      </c>
      <c r="C13" s="13">
        <v>3431.41</v>
      </c>
      <c r="D13" s="13">
        <v>2608.22</v>
      </c>
      <c r="E13" s="13">
        <f>B13+C13-D13</f>
      </c>
    </row>
    <row r="14" spans="1:5" x14ac:dyDescent="0.25">
      <c r="A14" s="10" t="s">
        <v>15</v>
      </c>
      <c r="B14" s="11">
        <f>E13</f>
      </c>
      <c r="C14" s="11">
        <v>3544.94</v>
      </c>
      <c r="D14" s="11">
        <v>2361.63</v>
      </c>
      <c r="E14" s="11">
        <f>B14+C14-D14</f>
      </c>
    </row>
    <row r="15" spans="1:5" x14ac:dyDescent="0.25">
      <c r="A15" s="12" t="s">
        <v>16</v>
      </c>
      <c r="B15" s="13">
        <f>E14</f>
      </c>
      <c r="C15" s="13">
        <v>4696.76</v>
      </c>
      <c r="D15" s="13">
        <v>3354.68</v>
      </c>
      <c r="E15" s="13">
        <f>B15+C15-D15</f>
      </c>
    </row>
    <row r="16" spans="1:5" x14ac:dyDescent="0.25">
      <c r="A16" s="10" t="s">
        <v>17</v>
      </c>
      <c r="B16" s="11">
        <f>E15</f>
      </c>
      <c r="C16" s="11">
        <v>4392.23</v>
      </c>
      <c r="D16" s="11">
        <v>1908.56</v>
      </c>
      <c r="E16" s="11">
        <f>B16+C16-D16</f>
      </c>
    </row>
    <row r="17" spans="1:5" x14ac:dyDescent="0.25">
      <c r="A17" s="12" t="s">
        <v>18</v>
      </c>
      <c r="B17" s="13">
        <f>E16</f>
      </c>
      <c r="C17" s="13">
        <v>3237.93</v>
      </c>
      <c r="D17" s="13">
        <v>2127.77</v>
      </c>
      <c r="E17" s="13">
        <f>B17+C17-D17</f>
      </c>
    </row>
    <row r="18" spans="1:5" x14ac:dyDescent="0.25">
      <c r="A18" s="10" t="s">
        <v>19</v>
      </c>
      <c r="B18" s="11">
        <f>E17</f>
      </c>
      <c r="C18" s="11">
        <v>3656.79</v>
      </c>
      <c r="D18" s="11">
        <v>2850.29</v>
      </c>
      <c r="E18" s="11">
        <f>B18+C18-D18</f>
      </c>
    </row>
    <row r="19" spans="1:5" x14ac:dyDescent="0.25">
      <c r="A19" s="12" t="s">
        <v>20</v>
      </c>
      <c r="B19" s="13">
        <f>E18</f>
      </c>
      <c r="C19" s="13">
        <v>3595.85</v>
      </c>
      <c r="D19" s="13">
        <v>2615.19</v>
      </c>
      <c r="E19" s="13">
        <f>B19+C19-D19</f>
      </c>
    </row>
    <row r="20" spans="1:5" x14ac:dyDescent="0.25">
      <c r="A20" s="10" t="s">
        <v>21</v>
      </c>
      <c r="B20" s="11">
        <f>E19</f>
      </c>
      <c r="C20" s="11">
        <v>4321.98</v>
      </c>
      <c r="D20" s="11">
        <v>2907.4</v>
      </c>
      <c r="E20" s="11">
        <f>B20+C20-D20</f>
      </c>
    </row>
    <row r="21" spans="1:5" x14ac:dyDescent="0.25">
      <c r="A21" s="12" t="s">
        <v>22</v>
      </c>
      <c r="B21" s="13">
        <f>E20</f>
      </c>
      <c r="C21" s="13">
        <v>3644.89</v>
      </c>
      <c r="D21" s="13">
        <v>2552.55</v>
      </c>
      <c r="E21" s="13">
        <f>B21+C21-D21</f>
      </c>
    </row>
    <row r="24" spans="1:1" x14ac:dyDescent="0.25">
      <c r="A24" s="14" t="s">
        <v>23</v>
      </c>
    </row>
    <row r="26" spans="1:6" x14ac:dyDescent="0.25">
      <c r="A26" s="15" t="s">
        <v>24</v>
      </c>
      <c r="B26" s="15"/>
      <c r="C26" s="15"/>
      <c r="D26" s="15"/>
      <c r="E26" s="15"/>
      <c r="F26" s="15"/>
    </row>
  </sheetData>
  <mergeCells count="9">
    <mergeCell ref="A1:F1"/>
    <mergeCell ref="A2:F2"/>
    <mergeCell ref="A4:C4"/>
    <mergeCell ref="D4:F4"/>
    <mergeCell ref="A5:C5"/>
    <mergeCell ref="D5:F5"/>
    <mergeCell ref="A6:C6"/>
    <mergeCell ref="D6:F6"/>
    <mergeCell ref="A26:F26"/>
  </mergeCells>
  <conditionalFormatting sqref="E10:E21">
    <cfRule type="cellIs" dxfId="0" priority="1" operator="equal">
      <formula>""</formula>
    </cfRule>
    <cfRule type="cellIs" dxfId="1" priority="2" operator="equal">
      <formula>""</formula>
    </cfRule>
  </conditionalFormatting>
  <conditionalFormatting sqref="E10:E21">
    <cfRule type="cellIs" dxfId="2" priority="3" operator="lessThan">
      <formula>0</formula>
    </cfRule>
  </conditionalFormatting>
  <conditionalFormatting sqref="E10:E21">
    <cfRule type="dataBar" priority="4">
      <dataBar>
        <cfvo type="min"/>
        <cfvo type="max"/>
        <color rgb="FF2563EB"/>
      </dataBar>
      <extLst>
        <ext xmlns:x14="http://schemas.microsoft.com/office/spreadsheetml/2009/9/main" uri="{B025F937-C7B1-47D3-B67F-A62EFF666E3E}">
          <x14:id>{DD7661E7-7B17-40A6-8026-9BBF2FDE618F}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D7661E7-7B17-40A6-8026-9BBF2FDE618F}">
            <x14:dataBar minLength="0" maxLength="100">
              <x14:cfvo type="min"/>
              <x14:cfvo type="max"/>
            </x14:dataBar>
          </x14:cfRule>
          <xm:sqref>E10:E21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Views>
    <sheetView workbookViewId="0" showGridLines="0"/>
  </sheetViews>
  <sheetFormatPr defaultRowHeight="15" outlineLevelRow="0" outlineLevelCol="0" x14ac:dyDescent="55"/>
  <cols>
    <col min="1" max="2" width="12" customWidth="1"/>
    <col min="3" max="3" width="34" customWidth="1"/>
    <col min="4" max="4" width="13" customWidth="1"/>
  </cols>
  <sheetData>
    <row r="1" ht="32" customHeight="1" spans="1:5" x14ac:dyDescent="0.25">
      <c r="A1" s="1" t="s">
        <v>25</v>
      </c>
      <c r="B1" s="1"/>
      <c r="C1" s="1"/>
      <c r="D1" s="1"/>
      <c r="E1" s="1"/>
    </row>
    <row r="2" ht="18" customHeight="1" spans="1:5" x14ac:dyDescent="0.25">
      <c r="A2" s="2" t="s">
        <v>26</v>
      </c>
      <c r="B2" s="2"/>
      <c r="C2" s="2"/>
      <c r="D2" s="2"/>
      <c r="E2" s="2"/>
    </row>
    <row r="4" ht="22" customHeight="1" spans="1:4" x14ac:dyDescent="0.25">
      <c r="A4" s="9" t="s">
        <v>27</v>
      </c>
      <c r="B4" s="9" t="s">
        <v>28</v>
      </c>
      <c r="C4" s="9" t="s">
        <v>29</v>
      </c>
      <c r="D4" s="9" t="s">
        <v>30</v>
      </c>
    </row>
    <row r="5" spans="1:4" x14ac:dyDescent="0.25">
      <c r="A5" s="16">
        <v>46078</v>
      </c>
      <c r="B5" s="10" t="s">
        <v>31</v>
      </c>
      <c r="C5" s="10" t="s">
        <v>32</v>
      </c>
      <c r="D5" s="11">
        <v>491.66</v>
      </c>
    </row>
    <row r="6" spans="1:4" x14ac:dyDescent="0.25">
      <c r="A6" s="17">
        <v>46152</v>
      </c>
      <c r="B6" s="12" t="s">
        <v>33</v>
      </c>
      <c r="C6" s="12" t="s">
        <v>34</v>
      </c>
      <c r="D6" s="13">
        <v>478.83</v>
      </c>
    </row>
    <row r="7" spans="1:4" x14ac:dyDescent="0.25">
      <c r="A7" s="16">
        <v>46209</v>
      </c>
      <c r="B7" s="10" t="s">
        <v>31</v>
      </c>
      <c r="C7" s="10" t="s">
        <v>35</v>
      </c>
      <c r="D7" s="11">
        <v>427.22</v>
      </c>
    </row>
    <row r="8" spans="1:4" x14ac:dyDescent="0.25">
      <c r="A8" s="17">
        <v>46161</v>
      </c>
      <c r="B8" s="12" t="s">
        <v>33</v>
      </c>
      <c r="C8" s="12" t="s">
        <v>36</v>
      </c>
      <c r="D8" s="13">
        <v>199.22</v>
      </c>
    </row>
    <row r="9" spans="1:4" x14ac:dyDescent="0.25">
      <c r="A9" s="16">
        <v>46065</v>
      </c>
      <c r="B9" s="10" t="s">
        <v>33</v>
      </c>
      <c r="C9" s="10" t="s">
        <v>37</v>
      </c>
      <c r="D9" s="11">
        <v>554.06</v>
      </c>
    </row>
    <row r="10" spans="1:4" x14ac:dyDescent="0.25">
      <c r="A10" s="17">
        <v>46061</v>
      </c>
      <c r="B10" s="12" t="s">
        <v>33</v>
      </c>
      <c r="C10" s="12" t="s">
        <v>38</v>
      </c>
      <c r="D10" s="13">
        <v>811.87</v>
      </c>
    </row>
    <row r="11" spans="1:4" x14ac:dyDescent="0.25">
      <c r="A11" s="16">
        <v>46059</v>
      </c>
      <c r="B11" s="10" t="s">
        <v>31</v>
      </c>
      <c r="C11" s="10" t="s">
        <v>39</v>
      </c>
      <c r="D11" s="11">
        <v>340.41</v>
      </c>
    </row>
    <row r="12" spans="1:4" x14ac:dyDescent="0.25">
      <c r="A12" s="17">
        <v>46221</v>
      </c>
      <c r="B12" s="12" t="s">
        <v>33</v>
      </c>
      <c r="C12" s="12" t="s">
        <v>38</v>
      </c>
      <c r="D12" s="13">
        <v>324.62</v>
      </c>
    </row>
    <row r="13" spans="1:4" x14ac:dyDescent="0.25">
      <c r="A13" s="16">
        <v>46092</v>
      </c>
      <c r="B13" s="10" t="s">
        <v>31</v>
      </c>
      <c r="C13" s="10" t="s">
        <v>39</v>
      </c>
      <c r="D13" s="11">
        <v>285.96</v>
      </c>
    </row>
    <row r="14" spans="1:4" x14ac:dyDescent="0.25">
      <c r="A14" s="17">
        <v>46224</v>
      </c>
      <c r="B14" s="12" t="s">
        <v>31</v>
      </c>
      <c r="C14" s="12" t="s">
        <v>32</v>
      </c>
      <c r="D14" s="13">
        <v>194.77</v>
      </c>
    </row>
    <row r="15" spans="1:4" x14ac:dyDescent="0.25">
      <c r="A15" s="16">
        <v>46156</v>
      </c>
      <c r="B15" s="10" t="s">
        <v>33</v>
      </c>
      <c r="C15" s="10" t="s">
        <v>34</v>
      </c>
      <c r="D15" s="11">
        <v>254.15</v>
      </c>
    </row>
    <row r="16" spans="1:4" x14ac:dyDescent="0.25">
      <c r="A16" s="17">
        <v>46205</v>
      </c>
      <c r="B16" s="12" t="s">
        <v>31</v>
      </c>
      <c r="C16" s="12" t="s">
        <v>32</v>
      </c>
      <c r="D16" s="13">
        <v>473.11</v>
      </c>
    </row>
    <row r="17" spans="1:4" x14ac:dyDescent="0.25">
      <c r="A17" s="16">
        <v>46157</v>
      </c>
      <c r="B17" s="10" t="s">
        <v>33</v>
      </c>
      <c r="C17" s="10" t="s">
        <v>36</v>
      </c>
      <c r="D17" s="11">
        <v>372.05</v>
      </c>
    </row>
    <row r="18" spans="1:4" x14ac:dyDescent="0.25">
      <c r="A18" s="17">
        <v>46083</v>
      </c>
      <c r="B18" s="12" t="s">
        <v>31</v>
      </c>
      <c r="C18" s="12" t="s">
        <v>35</v>
      </c>
      <c r="D18" s="13">
        <v>157.21</v>
      </c>
    </row>
    <row r="19" spans="1:4" x14ac:dyDescent="0.25">
      <c r="A19" s="16">
        <v>46153</v>
      </c>
      <c r="B19" s="10" t="s">
        <v>33</v>
      </c>
      <c r="C19" s="10" t="s">
        <v>38</v>
      </c>
      <c r="D19" s="11">
        <v>855.8</v>
      </c>
    </row>
    <row r="20" spans="1:4" x14ac:dyDescent="0.25">
      <c r="A20" s="17">
        <v>46071</v>
      </c>
      <c r="B20" s="12" t="s">
        <v>31</v>
      </c>
      <c r="C20" s="12" t="s">
        <v>40</v>
      </c>
      <c r="D20" s="13">
        <v>176.8</v>
      </c>
    </row>
    <row r="21" spans="1:4" x14ac:dyDescent="0.25">
      <c r="A21" s="16">
        <v>46075</v>
      </c>
      <c r="B21" s="10" t="s">
        <v>33</v>
      </c>
      <c r="C21" s="10" t="s">
        <v>37</v>
      </c>
      <c r="D21" s="11">
        <v>758.92</v>
      </c>
    </row>
    <row r="22" spans="1:4" x14ac:dyDescent="0.25">
      <c r="A22" s="17">
        <v>46184</v>
      </c>
      <c r="B22" s="12" t="s">
        <v>33</v>
      </c>
      <c r="C22" s="12" t="s">
        <v>37</v>
      </c>
      <c r="D22" s="13">
        <v>605.51</v>
      </c>
    </row>
    <row r="23" spans="1:4" x14ac:dyDescent="0.25">
      <c r="A23" s="16">
        <v>46118</v>
      </c>
      <c r="B23" s="10" t="s">
        <v>33</v>
      </c>
      <c r="C23" s="10" t="s">
        <v>37</v>
      </c>
      <c r="D23" s="11">
        <v>466.12</v>
      </c>
    </row>
    <row r="24" spans="1:4" x14ac:dyDescent="0.25">
      <c r="A24" s="17">
        <v>46134</v>
      </c>
      <c r="B24" s="12" t="s">
        <v>31</v>
      </c>
      <c r="C24" s="12" t="s">
        <v>32</v>
      </c>
      <c r="D24" s="13">
        <v>277.78</v>
      </c>
    </row>
    <row r="25" spans="1:4" x14ac:dyDescent="0.25">
      <c r="A25" s="16">
        <v>46041</v>
      </c>
      <c r="B25" s="10" t="s">
        <v>33</v>
      </c>
      <c r="C25" s="10" t="s">
        <v>36</v>
      </c>
      <c r="D25" s="11">
        <v>523</v>
      </c>
    </row>
    <row r="26" spans="1:4" x14ac:dyDescent="0.25">
      <c r="A26" s="17">
        <v>46132</v>
      </c>
      <c r="B26" s="12" t="s">
        <v>31</v>
      </c>
      <c r="C26" s="12" t="s">
        <v>39</v>
      </c>
      <c r="D26" s="13">
        <v>288.97</v>
      </c>
    </row>
    <row r="27" spans="1:4" x14ac:dyDescent="0.25">
      <c r="A27" s="16">
        <v>46108</v>
      </c>
      <c r="B27" s="10" t="s">
        <v>31</v>
      </c>
      <c r="C27" s="10" t="s">
        <v>32</v>
      </c>
      <c r="D27" s="11">
        <v>181.21</v>
      </c>
    </row>
    <row r="28" spans="1:4" x14ac:dyDescent="0.25">
      <c r="A28" s="17">
        <v>46076</v>
      </c>
      <c r="B28" s="12" t="s">
        <v>33</v>
      </c>
      <c r="C28" s="12" t="s">
        <v>37</v>
      </c>
      <c r="D28" s="13">
        <v>541.53</v>
      </c>
    </row>
    <row r="29" spans="1:4" x14ac:dyDescent="0.25">
      <c r="A29" s="16">
        <v>46216</v>
      </c>
      <c r="B29" s="10" t="s">
        <v>33</v>
      </c>
      <c r="C29" s="10" t="s">
        <v>37</v>
      </c>
      <c r="D29" s="11">
        <v>719.92</v>
      </c>
    </row>
    <row r="30" spans="1:4" x14ac:dyDescent="0.25">
      <c r="A30" s="17">
        <v>46217</v>
      </c>
      <c r="B30" s="12" t="s">
        <v>31</v>
      </c>
      <c r="C30" s="12" t="s">
        <v>41</v>
      </c>
      <c r="D30" s="13">
        <v>297.58</v>
      </c>
    </row>
    <row r="31" spans="1:4" x14ac:dyDescent="0.25">
      <c r="A31" s="16">
        <v>46066</v>
      </c>
      <c r="B31" s="10" t="s">
        <v>31</v>
      </c>
      <c r="C31" s="10" t="s">
        <v>41</v>
      </c>
      <c r="D31" s="11">
        <v>194.31</v>
      </c>
    </row>
    <row r="32" spans="1:4" x14ac:dyDescent="0.25">
      <c r="A32" s="17">
        <v>46180</v>
      </c>
      <c r="B32" s="12" t="s">
        <v>33</v>
      </c>
      <c r="C32" s="12" t="s">
        <v>34</v>
      </c>
      <c r="D32" s="13">
        <v>892.29</v>
      </c>
    </row>
  </sheetData>
  <mergeCells count="2">
    <mergeCell ref="A1:E1"/>
    <mergeCell ref="A2:E2"/>
  </mergeCells>
  <conditionalFormatting sqref="B5:B36">
    <cfRule type="cellIs" dxfId="3" priority="1" operator="equal">
      <formula>"Egreso"</formula>
    </cfRule>
    <cfRule type="cellIs" dxfId="4" priority="2" operator="equal">
      <formula>"Ingreso"</formula>
    </cfRule>
  </conditionalFormatting>
  <dataValidations count="1">
    <dataValidation type="list" allowBlank="1" sqref="B5">
      <formula1>"Ingreso,Egreso"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Flujo de Caja</vt:lpstr>
      <vt:lpstr>Movimientos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2026-08-23T16:46:29Z</dcterms:created>
  <dcterms:modified xsi:type="dcterms:W3CDTF">2026-08-23T16:46:29Z</dcterms:modified>
</cp:coreProperties>
</file>