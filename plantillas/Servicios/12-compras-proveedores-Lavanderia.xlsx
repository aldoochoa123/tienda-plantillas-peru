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ras" state="visible" r:id="rId4"/>
    <sheet sheetId="2" name="Resumen" state="visible" r:id="rId5"/>
  </sheets>
  <calcPr calcId="171027"/>
</workbook>
</file>

<file path=xl/sharedStrings.xml><?xml version="1.0" encoding="utf-8"?>
<sst xmlns="http://schemas.openxmlformats.org/spreadsheetml/2006/main" count="123" uniqueCount="45">
  <si>
    <t>CONTROL DE COMPRAS — LAVANDERÍA</t>
  </si>
  <si>
    <t>Registra compras a proveedores con IGV crédito fiscal</t>
  </si>
  <si>
    <t>Fecha</t>
  </si>
  <si>
    <t>Proveedor</t>
  </si>
  <si>
    <t>RUC</t>
  </si>
  <si>
    <t>Producto</t>
  </si>
  <si>
    <t>Cant.</t>
  </si>
  <si>
    <t>Costo Unit.</t>
  </si>
  <si>
    <t>Subtotal</t>
  </si>
  <si>
    <t>IGV 18%</t>
  </si>
  <si>
    <t>Total</t>
  </si>
  <si>
    <t>Condición</t>
  </si>
  <si>
    <t>Distribuciones Andinas</t>
  </si>
  <si>
    <t>20612309876</t>
  </si>
  <si>
    <t>Lavado por kilo</t>
  </si>
  <si>
    <t>Contado</t>
  </si>
  <si>
    <t>Planchado</t>
  </si>
  <si>
    <t>Crédito 15 días</t>
  </si>
  <si>
    <t>Importaciones del Sur S.A.</t>
  </si>
  <si>
    <t>20698765432</t>
  </si>
  <si>
    <t>Lavado en seco</t>
  </si>
  <si>
    <t>Crédito 30 días</t>
  </si>
  <si>
    <t>Distribuidora Lima S.A.C.</t>
  </si>
  <si>
    <t>20512345678</t>
  </si>
  <si>
    <t>Edredón</t>
  </si>
  <si>
    <t>AgroPacas S.A.C.</t>
  </si>
  <si>
    <t>20534567891</t>
  </si>
  <si>
    <t>Traje</t>
  </si>
  <si>
    <t>Mayorista San Martín</t>
  </si>
  <si>
    <t>20487654321</t>
  </si>
  <si>
    <t>Mayorista Central E.I.R.L.</t>
  </si>
  <si>
    <t>20456789012</t>
  </si>
  <si>
    <t>Express 24h</t>
  </si>
  <si>
    <t/>
  </si>
  <si>
    <t>RESUMEN DE COMPRAS — LAVANDERÍA</t>
  </si>
  <si>
    <t>Crédito fiscal, proveedores y estado de pagos</t>
  </si>
  <si>
    <t>TOTAL COMPRAS</t>
  </si>
  <si>
    <t>IGV CRÉDITO FISCAL</t>
  </si>
  <si>
    <t>COMPRAS POR PROVEEDOR</t>
  </si>
  <si>
    <t>Monto</t>
  </si>
  <si>
    <t>N° compras</t>
  </si>
  <si>
    <t>ESTADO DE CONDICIONES DE PAGO</t>
  </si>
  <si>
    <t>%</t>
  </si>
  <si>
    <t>💡 Guarda los RUC de tus proveedores: te servirán para la declaración anual y el PDT 621.</t>
  </si>
  <si>
    <t>Lavandería · Plantilla profesional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</si>
</sst>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dd/mm/yyyy"/>
    <numFmt numFmtId="165" formatCode="&quot;S/&quot; #,##0.00"/>
    <numFmt numFmtId="166" formatCode="0.0%"/>
  </numFmts>
  <fonts count="11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b/>
      <color rgb="FFFFFFFF"/>
      <sz val="9"/>
      <name val="Calibri"/>
    </font>
    <font>
      <b/>
      <color rgb="FFDC2626"/>
      <sz val="16"/>
      <name val="Calibri"/>
    </font>
    <font>
      <b/>
      <color rgb="FF2563EB"/>
      <sz val="16"/>
      <name val="Calibri"/>
    </font>
    <font>
      <b/>
      <color rgb="FF1A2E24"/>
      <sz val="13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DC2626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164" fontId="4" fillId="0" borderId="1" xfId="0" applyNumberFormat="1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3" fontId="4" fillId="0" borderId="1" xfId="0" applyNumberFormat="1" applyFont="1" applyBorder="1" applyAlignment="1">
      <alignment horizontal="right" vertical="center"/>
    </xf>
    <xf numFmtId="165" fontId="4" fillId="0" borderId="1" xfId="0" applyNumberFormat="1" applyFont="1" applyBorder="1" applyAlignment="1">
      <alignment horizontal="right" vertical="center"/>
    </xf>
    <xf numFmtId="164" fontId="4" fillId="4" borderId="1" xfId="0" applyNumberFormat="1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3" fontId="4" fillId="4" borderId="1" xfId="0" applyNumberFormat="1" applyFont="1" applyFill="1" applyBorder="1" applyAlignment="1">
      <alignment horizontal="righ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5" fontId="5" fillId="4" borderId="1" xfId="0" applyNumberFormat="1" applyFont="1" applyFill="1" applyBorder="1" applyAlignment="1">
      <alignment horizontal="right" vertical="center"/>
    </xf>
    <xf numFmtId="0" fontId="6" fillId="5" borderId="0" xfId="0" applyFont="1" applyFill="1" applyAlignment="1">
      <alignment horizontal="center" vertical="center"/>
    </xf>
    <xf numFmtId="0" fontId="6" fillId="6" borderId="0" xfId="0" applyFont="1" applyFill="1" applyAlignment="1">
      <alignment horizontal="center" vertical="center"/>
    </xf>
    <xf numFmtId="165" fontId="7" fillId="4" borderId="0" xfId="0" applyNumberFormat="1" applyFont="1" applyFill="1" applyAlignment="1">
      <alignment horizontal="center" vertical="center"/>
    </xf>
    <xf numFmtId="165" fontId="8" fillId="4" borderId="0" xfId="0" applyNumberFormat="1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9" fillId="0" borderId="0" xfId="0" applyFont="1" applyAlignment="1">
      <alignment horizontal="left" vertical="center"/>
    </xf>
    <xf numFmtId="166" fontId="4" fillId="0" borderId="1" xfId="0" applyNumberFormat="1" applyFont="1" applyBorder="1" applyAlignment="1">
      <alignment horizontal="right" vertical="center"/>
    </xf>
    <xf numFmtId="166" fontId="4" fillId="4" borderId="1" xfId="0" applyNumberFormat="1" applyFont="1" applyFill="1" applyBorder="1" applyAlignment="1">
      <alignment horizontal="right" vertical="center"/>
    </xf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5"/>
  <sheetViews>
    <sheetView workbookViewId="0" showGridLines="0"/>
  </sheetViews>
  <sheetFormatPr defaultRowHeight="15" outlineLevelRow="0" outlineLevelCol="0" x14ac:dyDescent="55"/>
  <cols>
    <col min="1" max="1" width="12" customWidth="1"/>
    <col min="2" max="2" width="24" customWidth="1"/>
    <col min="3" max="3" width="14" customWidth="1"/>
    <col min="4" max="4" width="28" customWidth="1"/>
    <col min="5" max="5" width="8" customWidth="1"/>
    <col min="6" max="8" width="12" customWidth="1"/>
    <col min="9" max="9" width="13" customWidth="1"/>
    <col min="10" max="10" width="14" customWidth="1"/>
  </cols>
  <sheetData>
    <row r="1" ht="32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18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ht="22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spans="1:10" x14ac:dyDescent="0.25">
      <c r="A5" s="4">
        <v>46042</v>
      </c>
      <c r="B5" s="5" t="s">
        <v>12</v>
      </c>
      <c r="C5" s="5" t="s">
        <v>13</v>
      </c>
      <c r="D5" s="5" t="s">
        <v>14</v>
      </c>
      <c r="E5" s="6">
        <v>8</v>
      </c>
      <c r="F5" s="7">
        <v>57.64</v>
      </c>
      <c r="G5" s="7">
        <f>E5*F5</f>
      </c>
      <c r="H5" s="7">
        <f>ROUND(G5*0.18,2)</f>
      </c>
      <c r="I5" s="7">
        <f>G5+H5</f>
      </c>
      <c r="J5" s="5" t="s">
        <v>15</v>
      </c>
    </row>
    <row r="6" spans="1:10" x14ac:dyDescent="0.25">
      <c r="A6" s="8">
        <v>46151</v>
      </c>
      <c r="B6" s="9" t="s">
        <v>12</v>
      </c>
      <c r="C6" s="9" t="s">
        <v>13</v>
      </c>
      <c r="D6" s="9" t="s">
        <v>16</v>
      </c>
      <c r="E6" s="10">
        <v>22</v>
      </c>
      <c r="F6" s="11">
        <v>26.82</v>
      </c>
      <c r="G6" s="11">
        <f>E6*F6</f>
      </c>
      <c r="H6" s="11">
        <f>ROUND(G6*0.18,2)</f>
      </c>
      <c r="I6" s="11">
        <f>G6+H6</f>
      </c>
      <c r="J6" s="9" t="s">
        <v>17</v>
      </c>
    </row>
    <row r="7" spans="1:10" x14ac:dyDescent="0.25">
      <c r="A7" s="4">
        <v>46226</v>
      </c>
      <c r="B7" s="5" t="s">
        <v>18</v>
      </c>
      <c r="C7" s="5" t="s">
        <v>19</v>
      </c>
      <c r="D7" s="5" t="s">
        <v>20</v>
      </c>
      <c r="E7" s="6">
        <v>31</v>
      </c>
      <c r="F7" s="7">
        <v>20.29</v>
      </c>
      <c r="G7" s="7">
        <f>E7*F7</f>
      </c>
      <c r="H7" s="7">
        <f>ROUND(G7*0.18,2)</f>
      </c>
      <c r="I7" s="7">
        <f>G7+H7</f>
      </c>
      <c r="J7" s="5" t="s">
        <v>21</v>
      </c>
    </row>
    <row r="8" spans="1:10" x14ac:dyDescent="0.25">
      <c r="A8" s="8">
        <v>46024</v>
      </c>
      <c r="B8" s="9" t="s">
        <v>22</v>
      </c>
      <c r="C8" s="9" t="s">
        <v>23</v>
      </c>
      <c r="D8" s="9" t="s">
        <v>24</v>
      </c>
      <c r="E8" s="10">
        <v>8</v>
      </c>
      <c r="F8" s="11">
        <v>6.47</v>
      </c>
      <c r="G8" s="11">
        <f>E8*F8</f>
      </c>
      <c r="H8" s="11">
        <f>ROUND(G8*0.18,2)</f>
      </c>
      <c r="I8" s="11">
        <f>G8+H8</f>
      </c>
      <c r="J8" s="9" t="s">
        <v>15</v>
      </c>
    </row>
    <row r="9" spans="1:10" x14ac:dyDescent="0.25">
      <c r="A9" s="4">
        <v>46186</v>
      </c>
      <c r="B9" s="5" t="s">
        <v>18</v>
      </c>
      <c r="C9" s="5" t="s">
        <v>19</v>
      </c>
      <c r="D9" s="5" t="s">
        <v>16</v>
      </c>
      <c r="E9" s="6">
        <v>9</v>
      </c>
      <c r="F9" s="7">
        <v>39.27</v>
      </c>
      <c r="G9" s="7">
        <f>E9*F9</f>
      </c>
      <c r="H9" s="7">
        <f>ROUND(G9*0.18,2)</f>
      </c>
      <c r="I9" s="7">
        <f>G9+H9</f>
      </c>
      <c r="J9" s="5" t="s">
        <v>17</v>
      </c>
    </row>
    <row r="10" spans="1:10" x14ac:dyDescent="0.25">
      <c r="A10" s="8">
        <v>46138</v>
      </c>
      <c r="B10" s="9" t="s">
        <v>25</v>
      </c>
      <c r="C10" s="9" t="s">
        <v>26</v>
      </c>
      <c r="D10" s="9" t="s">
        <v>16</v>
      </c>
      <c r="E10" s="10">
        <v>31</v>
      </c>
      <c r="F10" s="11">
        <v>21.98</v>
      </c>
      <c r="G10" s="11">
        <f>E10*F10</f>
      </c>
      <c r="H10" s="11">
        <f>ROUND(G10*0.18,2)</f>
      </c>
      <c r="I10" s="11">
        <f>G10+H10</f>
      </c>
      <c r="J10" s="9" t="s">
        <v>21</v>
      </c>
    </row>
    <row r="11" spans="1:10" x14ac:dyDescent="0.25">
      <c r="A11" s="4">
        <v>46222</v>
      </c>
      <c r="B11" s="5" t="s">
        <v>12</v>
      </c>
      <c r="C11" s="5" t="s">
        <v>13</v>
      </c>
      <c r="D11" s="5" t="s">
        <v>27</v>
      </c>
      <c r="E11" s="6">
        <v>25</v>
      </c>
      <c r="F11" s="7">
        <v>55.73</v>
      </c>
      <c r="G11" s="7">
        <f>E11*F11</f>
      </c>
      <c r="H11" s="7">
        <f>ROUND(G11*0.18,2)</f>
      </c>
      <c r="I11" s="7">
        <f>G11+H11</f>
      </c>
      <c r="J11" s="5" t="s">
        <v>15</v>
      </c>
    </row>
    <row r="12" spans="1:10" x14ac:dyDescent="0.25">
      <c r="A12" s="8">
        <v>46096</v>
      </c>
      <c r="B12" s="9" t="s">
        <v>28</v>
      </c>
      <c r="C12" s="9" t="s">
        <v>29</v>
      </c>
      <c r="D12" s="9" t="s">
        <v>24</v>
      </c>
      <c r="E12" s="10">
        <v>6</v>
      </c>
      <c r="F12" s="11">
        <v>19.87</v>
      </c>
      <c r="G12" s="11">
        <f>E12*F12</f>
      </c>
      <c r="H12" s="11">
        <f>ROUND(G12*0.18,2)</f>
      </c>
      <c r="I12" s="11">
        <f>G12+H12</f>
      </c>
      <c r="J12" s="9" t="s">
        <v>17</v>
      </c>
    </row>
    <row r="13" spans="1:10" x14ac:dyDescent="0.25">
      <c r="A13" s="4">
        <v>46174</v>
      </c>
      <c r="B13" s="5" t="s">
        <v>30</v>
      </c>
      <c r="C13" s="5" t="s">
        <v>31</v>
      </c>
      <c r="D13" s="5" t="s">
        <v>24</v>
      </c>
      <c r="E13" s="6">
        <v>21</v>
      </c>
      <c r="F13" s="7">
        <v>21.57</v>
      </c>
      <c r="G13" s="7">
        <f>E13*F13</f>
      </c>
      <c r="H13" s="7">
        <f>ROUND(G13*0.18,2)</f>
      </c>
      <c r="I13" s="7">
        <f>G13+H13</f>
      </c>
      <c r="J13" s="5" t="s">
        <v>21</v>
      </c>
    </row>
    <row r="14" spans="1:10" x14ac:dyDescent="0.25">
      <c r="A14" s="8">
        <v>46193</v>
      </c>
      <c r="B14" s="9" t="s">
        <v>12</v>
      </c>
      <c r="C14" s="9" t="s">
        <v>13</v>
      </c>
      <c r="D14" s="9" t="s">
        <v>32</v>
      </c>
      <c r="E14" s="10">
        <v>25</v>
      </c>
      <c r="F14" s="11">
        <v>79.22</v>
      </c>
      <c r="G14" s="11">
        <f>E14*F14</f>
      </c>
      <c r="H14" s="11">
        <f>ROUND(G14*0.18,2)</f>
      </c>
      <c r="I14" s="11">
        <f>G14+H14</f>
      </c>
      <c r="J14" s="9" t="s">
        <v>15</v>
      </c>
    </row>
    <row r="15" spans="1:10" x14ac:dyDescent="0.25">
      <c r="A15" s="4">
        <v>46155</v>
      </c>
      <c r="B15" s="5" t="s">
        <v>12</v>
      </c>
      <c r="C15" s="5" t="s">
        <v>13</v>
      </c>
      <c r="D15" s="5" t="s">
        <v>20</v>
      </c>
      <c r="E15" s="6">
        <v>25</v>
      </c>
      <c r="F15" s="7">
        <v>10.6</v>
      </c>
      <c r="G15" s="7">
        <f>E15*F15</f>
      </c>
      <c r="H15" s="7">
        <f>ROUND(G15*0.18,2)</f>
      </c>
      <c r="I15" s="7">
        <f>G15+H15</f>
      </c>
      <c r="J15" s="5" t="s">
        <v>17</v>
      </c>
    </row>
    <row r="16" spans="1:10" x14ac:dyDescent="0.25">
      <c r="A16" s="8">
        <v>46027</v>
      </c>
      <c r="B16" s="9" t="s">
        <v>28</v>
      </c>
      <c r="C16" s="9" t="s">
        <v>29</v>
      </c>
      <c r="D16" s="9" t="s">
        <v>27</v>
      </c>
      <c r="E16" s="10">
        <v>4</v>
      </c>
      <c r="F16" s="11">
        <v>66.11</v>
      </c>
      <c r="G16" s="11">
        <f>E16*F16</f>
      </c>
      <c r="H16" s="11">
        <f>ROUND(G16*0.18,2)</f>
      </c>
      <c r="I16" s="11">
        <f>G16+H16</f>
      </c>
      <c r="J16" s="9" t="s">
        <v>21</v>
      </c>
    </row>
    <row r="17" spans="1:10" x14ac:dyDescent="0.25">
      <c r="A17" s="4">
        <v>46193</v>
      </c>
      <c r="B17" s="5" t="s">
        <v>18</v>
      </c>
      <c r="C17" s="5" t="s">
        <v>19</v>
      </c>
      <c r="D17" s="5" t="s">
        <v>24</v>
      </c>
      <c r="E17" s="6">
        <v>8</v>
      </c>
      <c r="F17" s="7">
        <v>34.54</v>
      </c>
      <c r="G17" s="7">
        <f>E17*F17</f>
      </c>
      <c r="H17" s="7">
        <f>ROUND(G17*0.18,2)</f>
      </c>
      <c r="I17" s="7">
        <f>G17+H17</f>
      </c>
      <c r="J17" s="5" t="s">
        <v>15</v>
      </c>
    </row>
    <row r="18" spans="1:10" x14ac:dyDescent="0.25">
      <c r="A18" s="8">
        <v>46208</v>
      </c>
      <c r="B18" s="9" t="s">
        <v>22</v>
      </c>
      <c r="C18" s="9" t="s">
        <v>23</v>
      </c>
      <c r="D18" s="9" t="s">
        <v>14</v>
      </c>
      <c r="E18" s="10">
        <v>25</v>
      </c>
      <c r="F18" s="11">
        <v>54.17</v>
      </c>
      <c r="G18" s="11">
        <f>E18*F18</f>
      </c>
      <c r="H18" s="11">
        <f>ROUND(G18*0.18,2)</f>
      </c>
      <c r="I18" s="11">
        <f>G18+H18</f>
      </c>
      <c r="J18" s="9" t="s">
        <v>17</v>
      </c>
    </row>
    <row r="19" spans="1:10" x14ac:dyDescent="0.25">
      <c r="A19" s="4">
        <v>46056</v>
      </c>
      <c r="B19" s="5" t="s">
        <v>28</v>
      </c>
      <c r="C19" s="5" t="s">
        <v>29</v>
      </c>
      <c r="D19" s="5" t="s">
        <v>27</v>
      </c>
      <c r="E19" s="6">
        <v>9</v>
      </c>
      <c r="F19" s="7">
        <v>48.91</v>
      </c>
      <c r="G19" s="7">
        <f>E19*F19</f>
      </c>
      <c r="H19" s="7">
        <f>ROUND(G19*0.18,2)</f>
      </c>
      <c r="I19" s="7">
        <f>G19+H19</f>
      </c>
      <c r="J19" s="5" t="s">
        <v>21</v>
      </c>
    </row>
    <row r="20" spans="1:10" x14ac:dyDescent="0.25">
      <c r="A20" s="8">
        <v>46207</v>
      </c>
      <c r="B20" s="9" t="s">
        <v>22</v>
      </c>
      <c r="C20" s="9" t="s">
        <v>23</v>
      </c>
      <c r="D20" s="9" t="s">
        <v>16</v>
      </c>
      <c r="E20" s="10">
        <v>26</v>
      </c>
      <c r="F20" s="11">
        <v>74.55</v>
      </c>
      <c r="G20" s="11">
        <f>E20*F20</f>
      </c>
      <c r="H20" s="11">
        <f>ROUND(G20*0.18,2)</f>
      </c>
      <c r="I20" s="11">
        <f>G20+H20</f>
      </c>
      <c r="J20" s="9" t="s">
        <v>15</v>
      </c>
    </row>
    <row r="21" spans="1:10" x14ac:dyDescent="0.25">
      <c r="A21" s="4">
        <v>46160</v>
      </c>
      <c r="B21" s="5" t="s">
        <v>30</v>
      </c>
      <c r="C21" s="5" t="s">
        <v>31</v>
      </c>
      <c r="D21" s="5" t="s">
        <v>14</v>
      </c>
      <c r="E21" s="6">
        <v>24</v>
      </c>
      <c r="F21" s="7">
        <v>32.5</v>
      </c>
      <c r="G21" s="7">
        <f>E21*F21</f>
      </c>
      <c r="H21" s="7">
        <f>ROUND(G21*0.18,2)</f>
      </c>
      <c r="I21" s="7">
        <f>G21+H21</f>
      </c>
      <c r="J21" s="5" t="s">
        <v>17</v>
      </c>
    </row>
    <row r="22" spans="1:10" x14ac:dyDescent="0.25">
      <c r="A22" s="8">
        <v>46179</v>
      </c>
      <c r="B22" s="9" t="s">
        <v>18</v>
      </c>
      <c r="C22" s="9" t="s">
        <v>19</v>
      </c>
      <c r="D22" s="9" t="s">
        <v>20</v>
      </c>
      <c r="E22" s="10">
        <v>13</v>
      </c>
      <c r="F22" s="11">
        <v>21.3</v>
      </c>
      <c r="G22" s="11">
        <f>E22*F22</f>
      </c>
      <c r="H22" s="11">
        <f>ROUND(G22*0.18,2)</f>
      </c>
      <c r="I22" s="11">
        <f>G22+H22</f>
      </c>
      <c r="J22" s="9" t="s">
        <v>21</v>
      </c>
    </row>
    <row r="23" spans="1:10" x14ac:dyDescent="0.25">
      <c r="A23" s="4">
        <v>46097</v>
      </c>
      <c r="B23" s="5" t="s">
        <v>18</v>
      </c>
      <c r="C23" s="5" t="s">
        <v>19</v>
      </c>
      <c r="D23" s="5" t="s">
        <v>24</v>
      </c>
      <c r="E23" s="6">
        <v>18</v>
      </c>
      <c r="F23" s="7">
        <v>35.87</v>
      </c>
      <c r="G23" s="7">
        <f>E23*F23</f>
      </c>
      <c r="H23" s="7">
        <f>ROUND(G23*0.18,2)</f>
      </c>
      <c r="I23" s="7">
        <f>G23+H23</f>
      </c>
      <c r="J23" s="5" t="s">
        <v>15</v>
      </c>
    </row>
    <row r="24" spans="1:10" x14ac:dyDescent="0.25">
      <c r="A24" s="8">
        <v>46122</v>
      </c>
      <c r="B24" s="9" t="s">
        <v>18</v>
      </c>
      <c r="C24" s="9" t="s">
        <v>19</v>
      </c>
      <c r="D24" s="9" t="s">
        <v>20</v>
      </c>
      <c r="E24" s="10">
        <v>18</v>
      </c>
      <c r="F24" s="11">
        <v>24.29</v>
      </c>
      <c r="G24" s="11">
        <f>E24*F24</f>
      </c>
      <c r="H24" s="11">
        <f>ROUND(G24*0.18,2)</f>
      </c>
      <c r="I24" s="11">
        <f>G24+H24</f>
      </c>
      <c r="J24" s="9" t="s">
        <v>17</v>
      </c>
    </row>
    <row r="25" spans="1:9" x14ac:dyDescent="0.25">
      <c r="A25" s="12" t="s">
        <v>33</v>
      </c>
      <c r="B25" s="12" t="s">
        <v>33</v>
      </c>
      <c r="C25" s="12" t="s">
        <v>33</v>
      </c>
      <c r="D25" s="12" t="s">
        <v>33</v>
      </c>
      <c r="E25" s="12" t="s">
        <v>33</v>
      </c>
      <c r="F25" s="12" t="s">
        <v>33</v>
      </c>
      <c r="G25" s="13">
        <f>SUM(G5:G24)</f>
      </c>
      <c r="H25" s="13">
        <f>SUM(H5:H24)</f>
      </c>
      <c r="I25" s="13">
        <f>SUM(I5:I24)</f>
      </c>
    </row>
  </sheetData>
  <autoFilter ref="A4:J24"/>
  <mergeCells count="2">
    <mergeCell ref="A1:J1"/>
    <mergeCell ref="A2:J2"/>
  </mergeCells>
  <dataValidations count="1">
    <dataValidation type="list" allowBlank="1" sqref="J5">
      <formula1>"Contado,Crédito 15 días,Crédito 30 días"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6"/>
  <sheetViews>
    <sheetView workbookViewId="0" showGridLines="0"/>
  </sheetViews>
  <sheetFormatPr defaultRowHeight="15" outlineLevelRow="0" outlineLevelCol="0" x14ac:dyDescent="55"/>
  <cols>
    <col min="1" max="1" width="28" customWidth="1"/>
    <col min="2" max="2" width="14" customWidth="1"/>
    <col min="3" max="4" width="13" customWidth="1"/>
  </cols>
  <sheetData>
    <row r="1" ht="32" customHeight="1" spans="1:6" x14ac:dyDescent="0.25">
      <c r="A1" s="1" t="s">
        <v>34</v>
      </c>
      <c r="B1" s="1"/>
      <c r="C1" s="1"/>
      <c r="D1" s="1"/>
      <c r="E1" s="1"/>
      <c r="F1" s="1"/>
    </row>
    <row r="2" ht="18" customHeight="1" spans="1:6" x14ac:dyDescent="0.25">
      <c r="A2" s="2" t="s">
        <v>35</v>
      </c>
      <c r="B2" s="2"/>
      <c r="C2" s="2"/>
      <c r="D2" s="2"/>
      <c r="E2" s="2"/>
      <c r="F2" s="2"/>
    </row>
    <row r="4" spans="1:6" x14ac:dyDescent="0.25">
      <c r="A4" s="14" t="s">
        <v>36</v>
      </c>
      <c r="B4" s="14"/>
      <c r="C4" s="14"/>
      <c r="D4" s="15" t="s">
        <v>37</v>
      </c>
      <c r="E4" s="15"/>
      <c r="F4" s="15"/>
    </row>
    <row r="5" ht="24" customHeight="1" spans="1:6" x14ac:dyDescent="0.25">
      <c r="A5" s="16">
        <f>SUM(Compras!I5:I24)</f>
      </c>
      <c r="B5" s="16"/>
      <c r="C5" s="16"/>
      <c r="D5" s="17">
        <f>SUM(Compras!H5:H24)</f>
      </c>
      <c r="E5" s="17"/>
      <c r="F5" s="17"/>
    </row>
    <row r="6" spans="1:6" x14ac:dyDescent="0.25">
      <c r="A6" s="18" t="s">
        <v>33</v>
      </c>
      <c r="B6" s="18"/>
      <c r="C6" s="18"/>
      <c r="D6" s="18" t="s">
        <v>33</v>
      </c>
      <c r="E6" s="18"/>
      <c r="F6" s="18"/>
    </row>
    <row r="8" spans="1:1" x14ac:dyDescent="0.25">
      <c r="A8" s="19" t="s">
        <v>38</v>
      </c>
    </row>
    <row r="9" ht="22" customHeight="1" spans="1:3" x14ac:dyDescent="0.25">
      <c r="A9" s="3" t="s">
        <v>3</v>
      </c>
      <c r="B9" s="3" t="s">
        <v>39</v>
      </c>
      <c r="C9" s="3" t="s">
        <v>40</v>
      </c>
    </row>
    <row r="10" spans="1:3" x14ac:dyDescent="0.25">
      <c r="A10" s="5" t="s">
        <v>22</v>
      </c>
      <c r="B10" s="7">
        <f>SUMIF(Compras!$B:$B,A10,Compras!$I:$I)</f>
      </c>
      <c r="C10" s="6">
        <f>COUNTIF(Compras!$B:$B,A10)</f>
      </c>
    </row>
    <row r="11" spans="1:3" x14ac:dyDescent="0.25">
      <c r="A11" s="9" t="s">
        <v>30</v>
      </c>
      <c r="B11" s="11">
        <f>SUMIF(Compras!$B:$B,A11,Compras!$I:$I)</f>
      </c>
      <c r="C11" s="10">
        <f>COUNTIF(Compras!$B:$B,A11)</f>
      </c>
    </row>
    <row r="12" spans="1:3" x14ac:dyDescent="0.25">
      <c r="A12" s="5" t="s">
        <v>18</v>
      </c>
      <c r="B12" s="7">
        <f>SUMIF(Compras!$B:$B,A12,Compras!$I:$I)</f>
      </c>
      <c r="C12" s="6">
        <f>COUNTIF(Compras!$B:$B,A12)</f>
      </c>
    </row>
    <row r="13" spans="1:3" x14ac:dyDescent="0.25">
      <c r="A13" s="9" t="s">
        <v>25</v>
      </c>
      <c r="B13" s="11">
        <f>SUMIF(Compras!$B:$B,A13,Compras!$I:$I)</f>
      </c>
      <c r="C13" s="10">
        <f>COUNTIF(Compras!$B:$B,A13)</f>
      </c>
    </row>
    <row r="14" spans="1:3" x14ac:dyDescent="0.25">
      <c r="A14" s="5" t="s">
        <v>28</v>
      </c>
      <c r="B14" s="7">
        <f>SUMIF(Compras!$B:$B,A14,Compras!$I:$I)</f>
      </c>
      <c r="C14" s="6">
        <f>COUNTIF(Compras!$B:$B,A14)</f>
      </c>
    </row>
    <row r="15" spans="1:3" x14ac:dyDescent="0.25">
      <c r="A15" s="9" t="s">
        <v>12</v>
      </c>
      <c r="B15" s="11">
        <f>SUMIF(Compras!$B:$B,A15,Compras!$I:$I)</f>
      </c>
      <c r="C15" s="10">
        <f>COUNTIF(Compras!$B:$B,A15)</f>
      </c>
    </row>
    <row r="18" spans="1:1" x14ac:dyDescent="0.25">
      <c r="A18" s="19" t="s">
        <v>41</v>
      </c>
    </row>
    <row r="19" ht="22" customHeight="1" spans="1:3" x14ac:dyDescent="0.25">
      <c r="A19" s="3" t="s">
        <v>11</v>
      </c>
      <c r="B19" s="3" t="s">
        <v>39</v>
      </c>
      <c r="C19" s="3" t="s">
        <v>42</v>
      </c>
    </row>
    <row r="20" spans="1:3" x14ac:dyDescent="0.25">
      <c r="A20" s="5" t="s">
        <v>15</v>
      </c>
      <c r="B20" s="7">
        <f>SUMIF(Compras!$J:$J,A20,Compras!$I:$I)</f>
      </c>
      <c r="C20" s="20">
        <f>IF(SUM(Compras!$I$5:$I$24)=0,0,B20/SUM(Compras!$I$5:$I$24))</f>
      </c>
    </row>
    <row r="21" spans="1:3" x14ac:dyDescent="0.25">
      <c r="A21" s="9" t="s">
        <v>17</v>
      </c>
      <c r="B21" s="11">
        <f>SUMIF(Compras!$J:$J,A21,Compras!$I:$I)</f>
      </c>
      <c r="C21" s="21">
        <f>IF(SUM(Compras!$I$5:$I$24)=0,0,B21/SUM(Compras!$I$5:$I$24))</f>
      </c>
    </row>
    <row r="22" spans="1:3" x14ac:dyDescent="0.25">
      <c r="A22" s="5" t="s">
        <v>21</v>
      </c>
      <c r="B22" s="7">
        <f>SUMIF(Compras!$J:$J,A22,Compras!$I:$I)</f>
      </c>
      <c r="C22" s="20">
        <f>IF(SUM(Compras!$I$5:$I$24)=0,0,B22/SUM(Compras!$I$5:$I$24))</f>
      </c>
    </row>
    <row r="24" spans="1:1" x14ac:dyDescent="0.25">
      <c r="A24" s="22" t="s">
        <v>43</v>
      </c>
    </row>
    <row r="26" spans="1:6" x14ac:dyDescent="0.25">
      <c r="A26" s="23" t="s">
        <v>44</v>
      </c>
      <c r="B26" s="23"/>
      <c r="C26" s="23"/>
      <c r="D26" s="23"/>
      <c r="E26" s="23"/>
      <c r="F26" s="23"/>
    </row>
  </sheetData>
  <mergeCells count="9">
    <mergeCell ref="A1:F1"/>
    <mergeCell ref="A2:F2"/>
    <mergeCell ref="A4:C4"/>
    <mergeCell ref="D4:F4"/>
    <mergeCell ref="A5:C5"/>
    <mergeCell ref="D5:F5"/>
    <mergeCell ref="A6:C6"/>
    <mergeCell ref="D6:F6"/>
    <mergeCell ref="A26:F26"/>
  </mergeCells>
  <conditionalFormatting sqref="B10:B15">
    <cfRule type="dataBar" priority="1">
      <dataBar>
        <cfvo type="min"/>
        <cfvo type="max"/>
        <color rgb="FFF59E0B"/>
      </dataBar>
      <extLst>
        <ext xmlns:x14="http://schemas.microsoft.com/office/spreadsheetml/2009/9/main" uri="{B025F937-C7B1-47D3-B67F-A62EFF666E3E}">
          <x14:id>{1001E6DE-92F7-4A96-9F25-A83C9E1F6C05}</x14:id>
        </ext>
      </extLst>
    </cfRule>
  </conditionalFormatting>
  <conditionalFormatting sqref="B20:B22">
    <cfRule type="dataBar" priority="2">
      <dataBar>
        <cfvo type="min"/>
        <cfvo type="max"/>
        <color rgb="FF0D9488"/>
      </dataBar>
      <extLst>
        <ext xmlns:x14="http://schemas.microsoft.com/office/spreadsheetml/2009/9/main" uri="{B025F937-C7B1-47D3-B67F-A62EFF666E3E}">
          <x14:id>{6703745C-6E69-4C6D-894F-6430A6EF3EB8}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001E6DE-92F7-4A96-9F25-A83C9E1F6C05}">
            <x14:dataBar minLength="0" maxLength="100">
              <x14:cfvo type="min"/>
              <x14:cfvo type="max"/>
            </x14:dataBar>
          </x14:cfRule>
          <xm:sqref>B10:B15</xm:sqref>
        </x14:conditionalFormatting>
        <x14:conditionalFormatting xmlns:xm="http://schemas.microsoft.com/office/excel/2006/main">
          <x14:cfRule type="dataBar" id="{6703745C-6E69-4C6D-894F-6430A6EF3EB8}">
            <x14:dataBar minLength="0" maxLength="100">
              <x14:cfvo type="min"/>
              <x14:cfvo type="max"/>
            </x14:dataBar>
          </x14:cfRule>
          <xm:sqref>B20:B22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Compras</vt:lpstr>
      <vt:lpstr>Resumen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2026-08-23T16:46:27Z</dcterms:created>
  <dcterms:modified xsi:type="dcterms:W3CDTF">2026-08-23T16:46:27Z</dcterms:modified>
</cp:coreProperties>
</file>