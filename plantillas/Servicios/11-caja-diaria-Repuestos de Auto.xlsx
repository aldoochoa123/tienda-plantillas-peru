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entas del Dia" state="visible" r:id="rId4"/>
    <sheet sheetId="2" name="Arqueo de Caja" state="visible" r:id="rId5"/>
    <sheet sheetId="3" name="Resumen Diario" state="visible" r:id="rId6"/>
  </sheets>
  <calcPr calcId="171027"/>
</workbook>
</file>

<file path=xl/sharedStrings.xml><?xml version="1.0" encoding="utf-8"?>
<sst xmlns="http://schemas.openxmlformats.org/spreadsheetml/2006/main" count="129" uniqueCount="91">
  <si>
    <t>VENTAS DEL DIA — REPUESTOS DE AUTO</t>
  </si>
  <si>
    <t>Registra cada venta con su método de pago (Efectivo, Yape, Plin, Tarjeta)</t>
  </si>
  <si>
    <t>Hora</t>
  </si>
  <si>
    <t>N° Comprobante</t>
  </si>
  <si>
    <t>Método de Pago</t>
  </si>
  <si>
    <t>Descripción</t>
  </si>
  <si>
    <t>Monto</t>
  </si>
  <si>
    <t>IGV</t>
  </si>
  <si>
    <t>Total</t>
  </si>
  <si>
    <t>08:00</t>
  </si>
  <si>
    <t>B001-10000</t>
  </si>
  <si>
    <t>Efectivo</t>
  </si>
  <si>
    <t>Aceites</t>
  </si>
  <si>
    <t>08:30</t>
  </si>
  <si>
    <t>B001-10001</t>
  </si>
  <si>
    <t>Yape</t>
  </si>
  <si>
    <t>Pastas de freno</t>
  </si>
  <si>
    <t>09:15</t>
  </si>
  <si>
    <t>B001-10002</t>
  </si>
  <si>
    <t>Plin</t>
  </si>
  <si>
    <t>09:45</t>
  </si>
  <si>
    <t>B001-10003</t>
  </si>
  <si>
    <t>Batería</t>
  </si>
  <si>
    <t>10:20</t>
  </si>
  <si>
    <t>B001-10004</t>
  </si>
  <si>
    <t>Tarjeta</t>
  </si>
  <si>
    <t>Amortiguadores</t>
  </si>
  <si>
    <t>11:00</t>
  </si>
  <si>
    <t>B001-10005</t>
  </si>
  <si>
    <t>Bujías</t>
  </si>
  <si>
    <t>11:40</t>
  </si>
  <si>
    <t>B001-10006</t>
  </si>
  <si>
    <t>Correa de tiempo</t>
  </si>
  <si>
    <t>12:15</t>
  </si>
  <si>
    <t>B001-10007</t>
  </si>
  <si>
    <t>12:50</t>
  </si>
  <si>
    <t>B001-10008</t>
  </si>
  <si>
    <t>Transferencia</t>
  </si>
  <si>
    <t>13:30</t>
  </si>
  <si>
    <t>B001-10009</t>
  </si>
  <si>
    <t>14:10</t>
  </si>
  <si>
    <t>B001-10010</t>
  </si>
  <si>
    <t>15:00</t>
  </si>
  <si>
    <t>B001-10011</t>
  </si>
  <si>
    <t>Filtros</t>
  </si>
  <si>
    <t>15:30</t>
  </si>
  <si>
    <t>B001-10012</t>
  </si>
  <si>
    <t>Luces</t>
  </si>
  <si>
    <t>16:00</t>
  </si>
  <si>
    <t>B001-10013</t>
  </si>
  <si>
    <t>16:45</t>
  </si>
  <si>
    <t>B001-10014</t>
  </si>
  <si>
    <t>17:15</t>
  </si>
  <si>
    <t>B001-10015</t>
  </si>
  <si>
    <t>17:45</t>
  </si>
  <si>
    <t>B001-10016</t>
  </si>
  <si>
    <t>18:20</t>
  </si>
  <si>
    <t>B001-10017</t>
  </si>
  <si>
    <t>19:00</t>
  </si>
  <si>
    <t>B001-10018</t>
  </si>
  <si>
    <t>19:30</t>
  </si>
  <si>
    <t>B001-10019</t>
  </si>
  <si>
    <t>ARQUEO DE CAJA</t>
  </si>
  <si>
    <t>Cuenta el efectivo y compara con tu sistema</t>
  </si>
  <si>
    <t>Denominación</t>
  </si>
  <si>
    <t>Cantidad</t>
  </si>
  <si>
    <t>Subtotal</t>
  </si>
  <si>
    <t>Billete S/ 200</t>
  </si>
  <si>
    <t>Billete S/ 100</t>
  </si>
  <si>
    <t>Billete S/ 50</t>
  </si>
  <si>
    <t>Billete S/ 20</t>
  </si>
  <si>
    <t>Billete S/ 10</t>
  </si>
  <si>
    <t>Moneda S/ 5</t>
  </si>
  <si>
    <t>Moneda S/ 2</t>
  </si>
  <si>
    <t>Moneda S/ 1</t>
  </si>
  <si>
    <t>Moneda S/ 0.50</t>
  </si>
  <si>
    <t>Moneda S/ 0.20</t>
  </si>
  <si>
    <t>TOTAL EFECTIVO EN CAJA</t>
  </si>
  <si>
    <t/>
  </si>
  <si>
    <t>CUADRE DE CAJA — REPUESTOS DE AUTO</t>
  </si>
  <si>
    <t>Sistema vs arqueo — si cuadra, estás bien</t>
  </si>
  <si>
    <t>VENTAS EFECTIVO (SISTEMA)</t>
  </si>
  <si>
    <t>VENTAS YAPE/PLIN</t>
  </si>
  <si>
    <t>TOTAL SISTEMA</t>
  </si>
  <si>
    <t>TOTAL ARQUEO</t>
  </si>
  <si>
    <t>DIFERENCIA</t>
  </si>
  <si>
    <t>RESUMEN POR MÉTODO DE PAGO</t>
  </si>
  <si>
    <t>Método</t>
  </si>
  <si>
    <t>%</t>
  </si>
  <si>
    <t>💡 Si la diferencia en caja no es cero, revisa los comprobantes del día. Yape/Plin se validan en el celular.</t>
  </si>
  <si>
    <t>Repuestos de Auto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</si>
</sst>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4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0D9488"/>
      <sz val="16"/>
      <name val="Calibri"/>
    </font>
    <font>
      <b/>
      <color rgb="FF2563EB"/>
      <sz val="16"/>
      <name val="Calibri"/>
    </font>
    <font>
      <b/>
      <color rgb="FFF59E0B"/>
      <sz val="16"/>
      <name val="Calibri"/>
    </font>
    <font>
      <b/>
      <color rgb="FF0B3B2A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0D9488"/>
      </patternFill>
    </fill>
    <fill>
      <patternFill patternType="solid">
        <fgColor rgb="FF2563EB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3" fontId="5" fillId="4" borderId="1" xfId="0" applyNumberFormat="1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6" fillId="3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164" fontId="7" fillId="4" borderId="0" xfId="0" applyNumberFormat="1" applyFont="1" applyFill="1" applyAlignment="1">
      <alignment horizontal="center" vertical="center"/>
    </xf>
    <xf numFmtId="164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164" fontId="9" fillId="4" borderId="0" xfId="0" applyNumberFormat="1" applyFont="1" applyFill="1" applyAlignment="1">
      <alignment horizontal="center" vertical="center"/>
    </xf>
    <xf numFmtId="164" fontId="10" fillId="4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164" fontId="11" fillId="4" borderId="0" xfId="0" applyNumberFormat="1" applyFont="1" applyFill="1" applyAlignment="1">
      <alignment horizontal="center" vertical="center"/>
    </xf>
    <xf numFmtId="0" fontId="12" fillId="0" borderId="0" xfId="0" applyFont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Views>
    <sheetView workbookViewId="0" showGridLines="0"/>
  </sheetViews>
  <sheetFormatPr defaultRowHeight="15" outlineLevelRow="0" outlineLevelCol="0" x14ac:dyDescent="55"/>
  <cols>
    <col min="1" max="1" width="10" customWidth="1"/>
    <col min="2" max="3" width="14" customWidth="1"/>
    <col min="4" max="4" width="30" customWidth="1"/>
    <col min="5" max="7" width="12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4" t="s">
        <v>10</v>
      </c>
      <c r="C5" s="4" t="s">
        <v>11</v>
      </c>
      <c r="D5" s="4" t="s">
        <v>12</v>
      </c>
      <c r="E5" s="5">
        <v>3.2</v>
      </c>
      <c r="F5" s="5">
        <f>ROUND(E5/1.18*0.18,2)</f>
      </c>
      <c r="G5" s="5">
        <f>E5</f>
      </c>
    </row>
    <row r="6" spans="1:7" x14ac:dyDescent="0.25">
      <c r="A6" s="6" t="s">
        <v>13</v>
      </c>
      <c r="B6" s="6" t="s">
        <v>14</v>
      </c>
      <c r="C6" s="6" t="s">
        <v>15</v>
      </c>
      <c r="D6" s="6" t="s">
        <v>16</v>
      </c>
      <c r="E6" s="7">
        <v>8.91</v>
      </c>
      <c r="F6" s="7">
        <f>ROUND(E6/1.18*0.18,2)</f>
      </c>
      <c r="G6" s="7">
        <f>E6</f>
      </c>
    </row>
    <row r="7" spans="1:7" x14ac:dyDescent="0.25">
      <c r="A7" s="4" t="s">
        <v>17</v>
      </c>
      <c r="B7" s="4" t="s">
        <v>18</v>
      </c>
      <c r="C7" s="4" t="s">
        <v>19</v>
      </c>
      <c r="D7" s="4" t="s">
        <v>16</v>
      </c>
      <c r="E7" s="5">
        <v>18.6</v>
      </c>
      <c r="F7" s="5">
        <f>ROUND(E7/1.18*0.18,2)</f>
      </c>
      <c r="G7" s="5">
        <f>E7</f>
      </c>
    </row>
    <row r="8" spans="1:7" x14ac:dyDescent="0.25">
      <c r="A8" s="6" t="s">
        <v>20</v>
      </c>
      <c r="B8" s="6" t="s">
        <v>21</v>
      </c>
      <c r="C8" s="6" t="s">
        <v>11</v>
      </c>
      <c r="D8" s="6" t="s">
        <v>22</v>
      </c>
      <c r="E8" s="7">
        <v>3.87</v>
      </c>
      <c r="F8" s="7">
        <f>ROUND(E8/1.18*0.18,2)</f>
      </c>
      <c r="G8" s="7">
        <f>E8</f>
      </c>
    </row>
    <row r="9" spans="1:7" x14ac:dyDescent="0.25">
      <c r="A9" s="4" t="s">
        <v>23</v>
      </c>
      <c r="B9" s="4" t="s">
        <v>24</v>
      </c>
      <c r="C9" s="4" t="s">
        <v>25</v>
      </c>
      <c r="D9" s="4" t="s">
        <v>26</v>
      </c>
      <c r="E9" s="5">
        <v>4.93</v>
      </c>
      <c r="F9" s="5">
        <f>ROUND(E9/1.18*0.18,2)</f>
      </c>
      <c r="G9" s="5">
        <f>E9</f>
      </c>
    </row>
    <row r="10" spans="1:7" x14ac:dyDescent="0.25">
      <c r="A10" s="6" t="s">
        <v>27</v>
      </c>
      <c r="B10" s="6" t="s">
        <v>28</v>
      </c>
      <c r="C10" s="6" t="s">
        <v>15</v>
      </c>
      <c r="D10" s="6" t="s">
        <v>29</v>
      </c>
      <c r="E10" s="7">
        <v>36.71</v>
      </c>
      <c r="F10" s="7">
        <f>ROUND(E10/1.18*0.18,2)</f>
      </c>
      <c r="G10" s="7">
        <f>E10</f>
      </c>
    </row>
    <row r="11" spans="1:7" x14ac:dyDescent="0.25">
      <c r="A11" s="4" t="s">
        <v>30</v>
      </c>
      <c r="B11" s="4" t="s">
        <v>31</v>
      </c>
      <c r="C11" s="4" t="s">
        <v>11</v>
      </c>
      <c r="D11" s="4" t="s">
        <v>32</v>
      </c>
      <c r="E11" s="5">
        <v>31.85</v>
      </c>
      <c r="F11" s="5">
        <f>ROUND(E11/1.18*0.18,2)</f>
      </c>
      <c r="G11" s="5">
        <f>E11</f>
      </c>
    </row>
    <row r="12" spans="1:7" x14ac:dyDescent="0.25">
      <c r="A12" s="6" t="s">
        <v>33</v>
      </c>
      <c r="B12" s="6" t="s">
        <v>34</v>
      </c>
      <c r="C12" s="6" t="s">
        <v>11</v>
      </c>
      <c r="D12" s="6" t="s">
        <v>29</v>
      </c>
      <c r="E12" s="7">
        <v>9.47</v>
      </c>
      <c r="F12" s="7">
        <f>ROUND(E12/1.18*0.18,2)</f>
      </c>
      <c r="G12" s="7">
        <f>E12</f>
      </c>
    </row>
    <row r="13" spans="1:7" x14ac:dyDescent="0.25">
      <c r="A13" s="4" t="s">
        <v>35</v>
      </c>
      <c r="B13" s="4" t="s">
        <v>36</v>
      </c>
      <c r="C13" s="4" t="s">
        <v>37</v>
      </c>
      <c r="D13" s="4" t="s">
        <v>26</v>
      </c>
      <c r="E13" s="5">
        <v>6.2</v>
      </c>
      <c r="F13" s="5">
        <f>ROUND(E13/1.18*0.18,2)</f>
      </c>
      <c r="G13" s="5">
        <f>E13</f>
      </c>
    </row>
    <row r="14" spans="1:7" x14ac:dyDescent="0.25">
      <c r="A14" s="6" t="s">
        <v>38</v>
      </c>
      <c r="B14" s="6" t="s">
        <v>39</v>
      </c>
      <c r="C14" s="6" t="s">
        <v>15</v>
      </c>
      <c r="D14" s="6" t="s">
        <v>26</v>
      </c>
      <c r="E14" s="7">
        <v>28.38</v>
      </c>
      <c r="F14" s="7">
        <f>ROUND(E14/1.18*0.18,2)</f>
      </c>
      <c r="G14" s="7">
        <f>E14</f>
      </c>
    </row>
    <row r="15" spans="1:7" x14ac:dyDescent="0.25">
      <c r="A15" s="4" t="s">
        <v>40</v>
      </c>
      <c r="B15" s="4" t="s">
        <v>41</v>
      </c>
      <c r="C15" s="4" t="s">
        <v>11</v>
      </c>
      <c r="D15" s="4" t="s">
        <v>29</v>
      </c>
      <c r="E15" s="5">
        <v>38.42</v>
      </c>
      <c r="F15" s="5">
        <f>ROUND(E15/1.18*0.18,2)</f>
      </c>
      <c r="G15" s="5">
        <f>E15</f>
      </c>
    </row>
    <row r="16" spans="1:7" x14ac:dyDescent="0.25">
      <c r="A16" s="6" t="s">
        <v>42</v>
      </c>
      <c r="B16" s="6" t="s">
        <v>43</v>
      </c>
      <c r="C16" s="6" t="s">
        <v>15</v>
      </c>
      <c r="D16" s="6" t="s">
        <v>44</v>
      </c>
      <c r="E16" s="7">
        <v>7.63</v>
      </c>
      <c r="F16" s="7">
        <f>ROUND(E16/1.18*0.18,2)</f>
      </c>
      <c r="G16" s="7">
        <f>E16</f>
      </c>
    </row>
    <row r="17" spans="1:7" x14ac:dyDescent="0.25">
      <c r="A17" s="4" t="s">
        <v>45</v>
      </c>
      <c r="B17" s="4" t="s">
        <v>46</v>
      </c>
      <c r="C17" s="4" t="s">
        <v>19</v>
      </c>
      <c r="D17" s="4" t="s">
        <v>47</v>
      </c>
      <c r="E17" s="5">
        <v>53.31</v>
      </c>
      <c r="F17" s="5">
        <f>ROUND(E17/1.18*0.18,2)</f>
      </c>
      <c r="G17" s="5">
        <f>E17</f>
      </c>
    </row>
    <row r="18" spans="1:7" x14ac:dyDescent="0.25">
      <c r="A18" s="6" t="s">
        <v>48</v>
      </c>
      <c r="B18" s="6" t="s">
        <v>49</v>
      </c>
      <c r="C18" s="6" t="s">
        <v>11</v>
      </c>
      <c r="D18" s="6" t="s">
        <v>44</v>
      </c>
      <c r="E18" s="7">
        <v>15.79</v>
      </c>
      <c r="F18" s="7">
        <f>ROUND(E18/1.18*0.18,2)</f>
      </c>
      <c r="G18" s="7">
        <f>E18</f>
      </c>
    </row>
    <row r="19" spans="1:7" x14ac:dyDescent="0.25">
      <c r="A19" s="4" t="s">
        <v>50</v>
      </c>
      <c r="B19" s="4" t="s">
        <v>51</v>
      </c>
      <c r="C19" s="4" t="s">
        <v>25</v>
      </c>
      <c r="D19" s="4" t="s">
        <v>16</v>
      </c>
      <c r="E19" s="5">
        <v>17.58</v>
      </c>
      <c r="F19" s="5">
        <f>ROUND(E19/1.18*0.18,2)</f>
      </c>
      <c r="G19" s="5">
        <f>E19</f>
      </c>
    </row>
    <row r="20" spans="1:7" x14ac:dyDescent="0.25">
      <c r="A20" s="6" t="s">
        <v>52</v>
      </c>
      <c r="B20" s="6" t="s">
        <v>53</v>
      </c>
      <c r="C20" s="6" t="s">
        <v>15</v>
      </c>
      <c r="D20" s="6" t="s">
        <v>12</v>
      </c>
      <c r="E20" s="7">
        <v>52.05</v>
      </c>
      <c r="F20" s="7">
        <f>ROUND(E20/1.18*0.18,2)</f>
      </c>
      <c r="G20" s="7">
        <f>E20</f>
      </c>
    </row>
    <row r="21" spans="1:7" x14ac:dyDescent="0.25">
      <c r="A21" s="4" t="s">
        <v>54</v>
      </c>
      <c r="B21" s="4" t="s">
        <v>55</v>
      </c>
      <c r="C21" s="4" t="s">
        <v>11</v>
      </c>
      <c r="D21" s="4" t="s">
        <v>32</v>
      </c>
      <c r="E21" s="5">
        <v>12.98</v>
      </c>
      <c r="F21" s="5">
        <f>ROUND(E21/1.18*0.18,2)</f>
      </c>
      <c r="G21" s="5">
        <f>E21</f>
      </c>
    </row>
    <row r="22" spans="1:7" x14ac:dyDescent="0.25">
      <c r="A22" s="6" t="s">
        <v>56</v>
      </c>
      <c r="B22" s="6" t="s">
        <v>57</v>
      </c>
      <c r="C22" s="6" t="s">
        <v>11</v>
      </c>
      <c r="D22" s="6" t="s">
        <v>26</v>
      </c>
      <c r="E22" s="7">
        <v>30.05</v>
      </c>
      <c r="F22" s="7">
        <f>ROUND(E22/1.18*0.18,2)</f>
      </c>
      <c r="G22" s="7">
        <f>E22</f>
      </c>
    </row>
    <row r="23" spans="1:7" x14ac:dyDescent="0.25">
      <c r="A23" s="4" t="s">
        <v>58</v>
      </c>
      <c r="B23" s="4" t="s">
        <v>59</v>
      </c>
      <c r="C23" s="4" t="s">
        <v>37</v>
      </c>
      <c r="D23" s="4" t="s">
        <v>16</v>
      </c>
      <c r="E23" s="5">
        <v>4.53</v>
      </c>
      <c r="F23" s="5">
        <f>ROUND(E23/1.18*0.18,2)</f>
      </c>
      <c r="G23" s="5">
        <f>E23</f>
      </c>
    </row>
    <row r="24" spans="1:7" x14ac:dyDescent="0.25">
      <c r="A24" s="6" t="s">
        <v>60</v>
      </c>
      <c r="B24" s="6" t="s">
        <v>61</v>
      </c>
      <c r="C24" s="6" t="s">
        <v>15</v>
      </c>
      <c r="D24" s="6" t="s">
        <v>22</v>
      </c>
      <c r="E24" s="7">
        <v>7.97</v>
      </c>
      <c r="F24" s="7">
        <f>ROUND(E24/1.18*0.18,2)</f>
      </c>
      <c r="G24" s="7">
        <f>E24</f>
      </c>
    </row>
  </sheetData>
  <mergeCells count="2">
    <mergeCell ref="A1:G1"/>
    <mergeCell ref="A2:G2"/>
  </mergeCells>
  <dataValidations count="1">
    <dataValidation type="list" allowBlank="1" sqref="C5">
      <formula1>"Efectivo,Yape,Plin,Tarjeta,Transferencia"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workbookViewId="0" showGridLines="0"/>
  </sheetViews>
  <sheetFormatPr defaultRowHeight="15" outlineLevelRow="0" outlineLevelCol="0" x14ac:dyDescent="55"/>
  <cols>
    <col min="1" max="1" width="16" customWidth="1"/>
    <col min="2" max="2" width="10" customWidth="1"/>
    <col min="3" max="3" width="13" customWidth="1"/>
    <col min="4" max="4" width="16" customWidth="1"/>
  </cols>
  <sheetData>
    <row r="1" ht="32" customHeight="1" spans="1:4" x14ac:dyDescent="0.25">
      <c r="A1" s="1" t="s">
        <v>62</v>
      </c>
      <c r="B1" s="1"/>
      <c r="C1" s="1"/>
      <c r="D1" s="1"/>
    </row>
    <row r="2" ht="18" customHeight="1" spans="1:4" x14ac:dyDescent="0.25">
      <c r="A2" s="2" t="s">
        <v>63</v>
      </c>
      <c r="B2" s="2"/>
      <c r="C2" s="2"/>
      <c r="D2" s="2"/>
    </row>
    <row r="4" ht="22" customHeight="1" spans="1:3" x14ac:dyDescent="0.25">
      <c r="A4" s="3" t="s">
        <v>64</v>
      </c>
      <c r="B4" s="3" t="s">
        <v>65</v>
      </c>
      <c r="C4" s="3" t="s">
        <v>66</v>
      </c>
    </row>
    <row r="5" spans="1:3" x14ac:dyDescent="0.25">
      <c r="A5" s="4" t="s">
        <v>67</v>
      </c>
      <c r="B5" s="8">
        <v>1</v>
      </c>
      <c r="C5" s="5">
        <f>200*B5</f>
      </c>
    </row>
    <row r="6" spans="1:3" x14ac:dyDescent="0.25">
      <c r="A6" s="6" t="s">
        <v>68</v>
      </c>
      <c r="B6" s="9">
        <v>0</v>
      </c>
      <c r="C6" s="7">
        <f>100*B6</f>
      </c>
    </row>
    <row r="7" spans="1:3" x14ac:dyDescent="0.25">
      <c r="A7" s="4" t="s">
        <v>69</v>
      </c>
      <c r="B7" s="8">
        <v>4</v>
      </c>
      <c r="C7" s="5">
        <f>50*B7</f>
      </c>
    </row>
    <row r="8" spans="1:3" x14ac:dyDescent="0.25">
      <c r="A8" s="6" t="s">
        <v>70</v>
      </c>
      <c r="B8" s="9">
        <v>4</v>
      </c>
      <c r="C8" s="7">
        <f>20*B8</f>
      </c>
    </row>
    <row r="9" spans="1:3" x14ac:dyDescent="0.25">
      <c r="A9" s="4" t="s">
        <v>71</v>
      </c>
      <c r="B9" s="8">
        <v>4</v>
      </c>
      <c r="C9" s="5">
        <f>10*B9</f>
      </c>
    </row>
    <row r="10" spans="1:3" x14ac:dyDescent="0.25">
      <c r="A10" s="6" t="s">
        <v>72</v>
      </c>
      <c r="B10" s="9">
        <v>3</v>
      </c>
      <c r="C10" s="7">
        <f>5*B10</f>
      </c>
    </row>
    <row r="11" spans="1:3" x14ac:dyDescent="0.25">
      <c r="A11" s="4" t="s">
        <v>73</v>
      </c>
      <c r="B11" s="8">
        <v>4</v>
      </c>
      <c r="C11" s="5">
        <f>2*B11</f>
      </c>
    </row>
    <row r="12" spans="1:3" x14ac:dyDescent="0.25">
      <c r="A12" s="6" t="s">
        <v>74</v>
      </c>
      <c r="B12" s="9">
        <v>17</v>
      </c>
      <c r="C12" s="7">
        <f>1*B12</f>
      </c>
    </row>
    <row r="13" spans="1:3" x14ac:dyDescent="0.25">
      <c r="A13" s="4" t="s">
        <v>75</v>
      </c>
      <c r="B13" s="8">
        <v>7</v>
      </c>
      <c r="C13" s="5">
        <f>0.5*B13</f>
      </c>
    </row>
    <row r="14" spans="1:3" x14ac:dyDescent="0.25">
      <c r="A14" s="6" t="s">
        <v>76</v>
      </c>
      <c r="B14" s="9">
        <v>9</v>
      </c>
      <c r="C14" s="7">
        <f>0.2*B14</f>
      </c>
    </row>
    <row r="15" spans="1:3" x14ac:dyDescent="0.25">
      <c r="A15" s="10" t="s">
        <v>77</v>
      </c>
      <c r="B15" s="11" t="s">
        <v>78</v>
      </c>
      <c r="C15" s="12">
        <f>SUM(C5:C14)</f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workbookViewId="0" showGridLines="0"/>
  </sheetViews>
  <sheetFormatPr defaultRowHeight="15" outlineLevelRow="0" outlineLevelCol="0" x14ac:dyDescent="55"/>
  <cols>
    <col min="1" max="1" width="28" customWidth="1"/>
    <col min="2" max="4" width="14" customWidth="1"/>
  </cols>
  <sheetData>
    <row r="1" ht="32" customHeight="1" spans="1:5" x14ac:dyDescent="0.25">
      <c r="A1" s="1" t="s">
        <v>79</v>
      </c>
      <c r="B1" s="1"/>
      <c r="C1" s="1"/>
      <c r="D1" s="1"/>
      <c r="E1" s="1"/>
    </row>
    <row r="2" ht="18" customHeight="1" spans="1:5" x14ac:dyDescent="0.25">
      <c r="A2" s="2" t="s">
        <v>80</v>
      </c>
      <c r="B2" s="2"/>
      <c r="C2" s="2"/>
      <c r="D2" s="2"/>
      <c r="E2" s="2"/>
    </row>
    <row r="4" spans="1:6" x14ac:dyDescent="0.25">
      <c r="A4" s="13" t="s">
        <v>81</v>
      </c>
      <c r="B4" s="13"/>
      <c r="C4" s="13"/>
      <c r="D4" s="14" t="s">
        <v>82</v>
      </c>
      <c r="E4" s="14"/>
      <c r="F4" s="14"/>
    </row>
    <row r="5" ht="24" customHeight="1" spans="1:6" x14ac:dyDescent="0.25">
      <c r="A5" s="15">
        <f>SUMPRODUCT(('Ventas del Dia'!C5:C24='Efectivo')*'Ventas del Dia'!F5:F24)</f>
      </c>
      <c r="B5" s="15"/>
      <c r="C5" s="15"/>
      <c r="D5" s="16">
        <f>SUMPRODUCT(('Ventas del Dia'!C5:C24='Yape')*'Ventas del Dia'!G5:G24)+SUMPRODUCT(('Ventas del Dia'!C5:C24='Plin')*'Ventas del Dia'!G5:G24)</f>
      </c>
      <c r="E5" s="16"/>
      <c r="F5" s="16"/>
    </row>
    <row r="6" spans="1:6" x14ac:dyDescent="0.25">
      <c r="A6" s="17" t="s">
        <v>78</v>
      </c>
      <c r="B6" s="17"/>
      <c r="C6" s="17"/>
      <c r="D6" s="17" t="s">
        <v>78</v>
      </c>
      <c r="E6" s="17"/>
      <c r="F6" s="17"/>
    </row>
    <row r="7" spans="1:6" x14ac:dyDescent="0.25">
      <c r="A7" s="18" t="s">
        <v>83</v>
      </c>
      <c r="B7" s="18"/>
      <c r="C7" s="18"/>
      <c r="D7" s="19" t="s">
        <v>84</v>
      </c>
      <c r="E7" s="19"/>
      <c r="F7" s="19"/>
    </row>
    <row r="8" ht="24" customHeight="1" spans="1:6" x14ac:dyDescent="0.25">
      <c r="A8" s="20">
        <f>SUM('Ventas del Dia'!G5:G24)</f>
      </c>
      <c r="B8" s="20"/>
      <c r="C8" s="20"/>
      <c r="D8" s="21">
        <f>Arqueo de Caja!C16</f>
      </c>
      <c r="E8" s="21"/>
      <c r="F8" s="21"/>
    </row>
    <row r="9" spans="1:6" x14ac:dyDescent="0.25">
      <c r="A9" s="17" t="s">
        <v>78</v>
      </c>
      <c r="B9" s="17"/>
      <c r="C9" s="17"/>
      <c r="D9" s="17" t="s">
        <v>78</v>
      </c>
      <c r="E9" s="17"/>
      <c r="F9" s="17"/>
    </row>
    <row r="10" spans="1:3" x14ac:dyDescent="0.25">
      <c r="A10" s="22" t="s">
        <v>85</v>
      </c>
      <c r="B10" s="22"/>
      <c r="C10" s="22"/>
    </row>
    <row r="11" ht="24" customHeight="1" spans="1:3" x14ac:dyDescent="0.25">
      <c r="A11" s="23">
        <f>C9-C10</f>
      </c>
      <c r="B11" s="23"/>
      <c r="C11" s="23"/>
    </row>
    <row r="12" spans="1:3" x14ac:dyDescent="0.25">
      <c r="A12" s="17" t="s">
        <v>78</v>
      </c>
      <c r="B12" s="17"/>
      <c r="C12" s="17"/>
    </row>
    <row r="13" spans="1:1" x14ac:dyDescent="0.25">
      <c r="A13" s="24" t="s">
        <v>86</v>
      </c>
    </row>
    <row r="14" ht="22" customHeight="1" spans="1:3" x14ac:dyDescent="0.25">
      <c r="A14" s="3" t="s">
        <v>87</v>
      </c>
      <c r="B14" s="3" t="s">
        <v>6</v>
      </c>
      <c r="C14" s="3" t="s">
        <v>88</v>
      </c>
    </row>
    <row r="15" spans="1:3" x14ac:dyDescent="0.25">
      <c r="A15" s="4" t="s">
        <v>11</v>
      </c>
      <c r="B15" s="5">
        <f>SUMIF('Ventas del Dia'!$C:$C,A15,'Ventas del Dia'!$G:$G)</f>
      </c>
      <c r="C15" s="25">
        <f>IF(SUM('Ventas del Dia'!$G$5:$G$24)=0,0,B15/SUM('Ventas del Dia'!$G$5:$G$24))</f>
      </c>
    </row>
    <row r="16" spans="1:3" x14ac:dyDescent="0.25">
      <c r="A16" s="6" t="s">
        <v>15</v>
      </c>
      <c r="B16" s="7">
        <f>SUMIF('Ventas del Dia'!$C:$C,A16,'Ventas del Dia'!$G:$G)</f>
      </c>
      <c r="C16" s="26">
        <f>IF(SUM('Ventas del Dia'!$G$5:$G$24)=0,0,B16/SUM('Ventas del Dia'!$G$5:$G$24))</f>
      </c>
    </row>
    <row r="17" spans="1:3" x14ac:dyDescent="0.25">
      <c r="A17" s="4" t="s">
        <v>19</v>
      </c>
      <c r="B17" s="5">
        <f>SUMIF('Ventas del Dia'!$C:$C,A17,'Ventas del Dia'!$G:$G)</f>
      </c>
      <c r="C17" s="25">
        <f>IF(SUM('Ventas del Dia'!$G$5:$G$24)=0,0,B17/SUM('Ventas del Dia'!$G$5:$G$24))</f>
      </c>
    </row>
    <row r="18" spans="1:3" x14ac:dyDescent="0.25">
      <c r="A18" s="6" t="s">
        <v>25</v>
      </c>
      <c r="B18" s="7">
        <f>SUMIF('Ventas del Dia'!$C:$C,A18,'Ventas del Dia'!$G:$G)</f>
      </c>
      <c r="C18" s="26">
        <f>IF(SUM('Ventas del Dia'!$G$5:$G$24)=0,0,B18/SUM('Ventas del Dia'!$G$5:$G$24))</f>
      </c>
    </row>
    <row r="19" spans="1:3" x14ac:dyDescent="0.25">
      <c r="A19" s="4" t="s">
        <v>37</v>
      </c>
      <c r="B19" s="5">
        <f>SUMIF('Ventas del Dia'!$C:$C,A19,'Ventas del Dia'!$G:$G)</f>
      </c>
      <c r="C19" s="25">
        <f>IF(SUM('Ventas del Dia'!$G$5:$G$24)=0,0,B19/SUM('Ventas del Dia'!$G$5:$G$24))</f>
      </c>
    </row>
    <row r="22" spans="1:1" x14ac:dyDescent="0.25">
      <c r="A22" s="27" t="s">
        <v>89</v>
      </c>
    </row>
    <row r="24" spans="1:5" x14ac:dyDescent="0.25">
      <c r="A24" s="28" t="s">
        <v>90</v>
      </c>
      <c r="B24" s="28"/>
      <c r="C24" s="28"/>
      <c r="D24" s="28"/>
      <c r="E24" s="28"/>
    </row>
  </sheetData>
  <mergeCells count="18">
    <mergeCell ref="A1:E1"/>
    <mergeCell ref="A2:E2"/>
    <mergeCell ref="A4:C4"/>
    <mergeCell ref="D4:F4"/>
    <mergeCell ref="A5:C5"/>
    <mergeCell ref="D5:F5"/>
    <mergeCell ref="A6:C6"/>
    <mergeCell ref="D6:F6"/>
    <mergeCell ref="A7:C7"/>
    <mergeCell ref="D7:F7"/>
    <mergeCell ref="A8:C8"/>
    <mergeCell ref="D8:F8"/>
    <mergeCell ref="A9:C9"/>
    <mergeCell ref="D9:F9"/>
    <mergeCell ref="A10:C10"/>
    <mergeCell ref="A11:C11"/>
    <mergeCell ref="A12:C12"/>
    <mergeCell ref="A24:E24"/>
  </mergeCells>
  <conditionalFormatting sqref="B11:B11">
    <cfRule type="cellIs" dxfId="0" priority="1" operator="equal">
      <formula>0</formula>
    </cfRule>
    <cfRule type="cellIs" dxfId="1" priority="2" operator="notEqual">
      <formula>0</formula>
    </cfRule>
  </conditionalFormatting>
  <conditionalFormatting sqref="B15:B19">
    <cfRule type="dataBar" priority="3">
      <dataBar>
        <cfvo type="min"/>
        <cfvo type="max"/>
        <color rgb="FF84CC16"/>
      </dataBar>
      <extLst>
        <ext xmlns:x14="http://schemas.microsoft.com/office/spreadsheetml/2009/9/main" uri="{B025F937-C7B1-47D3-B67F-A62EFF666E3E}">
          <x14:id>{A9CE662F-0CEA-4A32-92A4-8C4545DEB5BF}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9CE662F-0CEA-4A32-92A4-8C4545DEB5BF}">
            <x14:dataBar minLength="0" maxLength="100">
              <x14:cfvo type="min"/>
              <x14:cfvo type="max"/>
            </x14:dataBar>
          </x14:cfRule>
          <xm:sqref>B15:B19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Ventas del Dia</vt:lpstr>
      <vt:lpstr>Arqueo de Caja</vt:lpstr>
      <vt:lpstr>Resumen Diario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2026-08-23T16:46:28Z</dcterms:created>
  <dcterms:modified xsi:type="dcterms:W3CDTF">2026-08-23T16:46:28Z</dcterms:modified>
</cp:coreProperties>
</file>