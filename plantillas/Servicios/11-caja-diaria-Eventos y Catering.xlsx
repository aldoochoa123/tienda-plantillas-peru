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<sst xmlns="http://schemas.openxmlformats.org/spreadsheetml/2006/main" count="129" uniqueCount="90">
  <si>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EVENTOS Y CATERING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</si>
  <si>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</si>
  <si>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</si>
  <si>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</si>
  <si>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</si>
  <si>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</si>
  <si>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</si>
  <si>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</si>
  <si>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</si>
  <si>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</si>
  <si>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</si>
  <si>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</si>
  <si>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Alquiler de mesas</t>
  </si>
  <si>
    <t>08:30</t>
  </si>
  <si>
    <t>B001-10001</t>
  </si>
  <si>
    <t>Yape</t>
  </si>
  <si>
    <t>Sonido</t>
  </si>
  <si>
    <t>09:15</t>
  </si>
  <si>
    <t>B001-10002</t>
  </si>
  <si>
    <t>Plin</t>
  </si>
  <si>
    <t>Alquiler de sillas</t>
  </si>
  <si>
    <t>09:45</t>
  </si>
  <si>
    <t>B001-10003</t>
  </si>
  <si>
    <t>Carpa</t>
  </si>
  <si>
    <t>10:20</t>
  </si>
  <si>
    <t>B001-10004</t>
  </si>
  <si>
    <t>Tarjeta</t>
  </si>
  <si>
    <t>11:00</t>
  </si>
  <si>
    <t>B001-10005</t>
  </si>
  <si>
    <t>Catering x50 personas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</si>
  <si>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</si>
  <si>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</si>
  <si>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</si>
  <si>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</si>
  <si>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</si>
  <si>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</si>
  <si>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</si>
  <si>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</si>
  <si>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</si>
  <si>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Catering x100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</si>
  <si>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</si>
  <si>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</si>
  <si>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</si>
  <si>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</si>
  <si>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</si>
  <si>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</si>
  <si>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</si>
  <si>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</si>
  <si>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</si>
  <si>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</si>
  <si>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Show artístico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</si>
  <si>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</si>
  <si>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</si>
  <si>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</si>
  <si>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</si>
  <si>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</si>
  <si>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</si>
  <si>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</si>
  <si>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</si>
  <si>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</si>
  <si>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</si>
  <si>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</si>
  <si>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</si>
  <si>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</si>
  <si>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</si>
  <si>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</si>
  <si>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</si>
  <si>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</si>
  <si>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</si>
  <si>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</si>
  <si>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</si>
  <si>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</si>
  <si>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</si>
  <si>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</si>
  <si>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</si>
  <si>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</si>
  <si>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</si>
  <si>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</si>
  <si>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EVENTOS Y CATERING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</si>
  <si>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</si>
  <si>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</si>
  <si>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</si>
  <si>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</si>
  <si>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</si>
  <si>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</si>
  <si>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</si>
  <si>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</si>
  <si>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</si>
  <si>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</si>
  <si>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Eventos y Catering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</si>
</sst>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46.47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18.78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12.77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54.7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12</v>
      </c>
      <c r="E9" s="5">
        <v>51.17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22.76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23</v>
      </c>
      <c r="E11" s="5">
        <v>57.06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12</v>
      </c>
      <c r="E12" s="7">
        <v>6.36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20</v>
      </c>
      <c r="E13" s="5">
        <v>32.93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39</v>
      </c>
      <c r="E14" s="7">
        <v>57.96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12</v>
      </c>
      <c r="E15" s="5">
        <v>28.51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29</v>
      </c>
      <c r="E16" s="7">
        <v>30.46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16</v>
      </c>
      <c r="E17" s="5">
        <v>21.77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20</v>
      </c>
      <c r="E18" s="7">
        <v>46.67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26</v>
      </c>
      <c r="D19" s="4" t="s">
        <v>50</v>
      </c>
      <c r="E19" s="5">
        <v>56.12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16</v>
      </c>
      <c r="E20" s="7">
        <v>9.71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12</v>
      </c>
      <c r="E21" s="5">
        <v>21.79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20</v>
      </c>
      <c r="E22" s="7">
        <v>47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29</v>
      </c>
      <c r="E23" s="5">
        <v>37.54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12</v>
      </c>
      <c r="E24" s="7">
        <v>13.6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4</v>
      </c>
      <c r="C5" s="5">
        <f>200*B5</f>
      </c>
    </row>
    <row r="6" spans="1:3" x14ac:dyDescent="0.25">
      <c r="A6" s="6" t="s">
        <v>67</v>
      </c>
      <c r="B6" s="9">
        <v>1</v>
      </c>
      <c r="C6" s="7">
        <f>100*B6</f>
      </c>
    </row>
    <row r="7" spans="1:3" x14ac:dyDescent="0.25">
      <c r="A7" s="4" t="s">
        <v>68</v>
      </c>
      <c r="B7" s="8">
        <v>3</v>
      </c>
      <c r="C7" s="5">
        <f>50*B7</f>
      </c>
    </row>
    <row r="8" spans="1:3" x14ac:dyDescent="0.25">
      <c r="A8" s="6" t="s">
        <v>69</v>
      </c>
      <c r="B8" s="9">
        <v>18</v>
      </c>
      <c r="C8" s="7">
        <f>20*B8</f>
      </c>
    </row>
    <row r="9" spans="1:3" x14ac:dyDescent="0.25">
      <c r="A9" s="4" t="s">
        <v>70</v>
      </c>
      <c r="B9" s="8">
        <v>17</v>
      </c>
      <c r="C9" s="5">
        <f>10*B9</f>
      </c>
    </row>
    <row r="10" spans="1:3" x14ac:dyDescent="0.25">
      <c r="A10" s="6" t="s">
        <v>71</v>
      </c>
      <c r="B10" s="9">
        <v>0</v>
      </c>
      <c r="C10" s="7">
        <f>5*B10</f>
      </c>
    </row>
    <row r="11" spans="1:3" x14ac:dyDescent="0.25">
      <c r="A11" s="4" t="s">
        <v>72</v>
      </c>
      <c r="B11" s="8">
        <v>7</v>
      </c>
      <c r="C11" s="5">
        <f>2*B11</f>
      </c>
    </row>
    <row r="12" spans="1:3" x14ac:dyDescent="0.25">
      <c r="A12" s="6" t="s">
        <v>73</v>
      </c>
      <c r="B12" s="9">
        <v>0</v>
      </c>
      <c r="C12" s="7">
        <f>1*B12</f>
      </c>
    </row>
    <row r="13" spans="1:3" x14ac:dyDescent="0.25">
      <c r="A13" s="4" t="s">
        <v>74</v>
      </c>
      <c r="B13" s="8">
        <v>1</v>
      </c>
      <c r="C13" s="5">
        <f>0.5*B13</f>
      </c>
    </row>
    <row r="14" spans="1:3" x14ac:dyDescent="0.25">
      <c r="A14" s="6" t="s">
        <v>75</v>
      </c>
      <c r="B14" s="9">
        <v>4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{8BF87F7E-081D-487D-B716-AE70967CE6D3}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F87F7E-081D-487D-B716-AE70967CE6D3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