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'Planilla'!$D$10:$D$19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'Planilla'!$A$37:$A$38</f>
            </numRef>
          </cat>
          <val>
            <numRef>
              <f>'Planilla'!$B$37:$B$38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'Planilla'!$D$10:$D$19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'Planilla'!$E$10:$E$19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'Planilla'!$F$10:$F$19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'Planilla'!$G$10:$G$19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'Planilla'!$H$10:$H$19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'Planilla'!$I$10:$I$19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'Planilla'!$J$10:$J$19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35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ELECTRICISTA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10</v>
      </c>
      <c r="C5" s="8" t="n">
        <v>520</v>
      </c>
      <c r="E5" s="9" t="n">
        <v>46</v>
      </c>
      <c r="G5" s="10" t="n">
        <v>566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51532401</t>
        </is>
      </c>
      <c r="C10" s="13" t="inlineStr">
        <is>
          <t>Gerente</t>
        </is>
      </c>
      <c r="D10" s="14" t="n">
        <v>248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17449291</t>
        </is>
      </c>
      <c r="C11" s="15" t="inlineStr">
        <is>
          <t>Vendedor</t>
        </is>
      </c>
      <c r="D11" s="16" t="n">
        <v>-2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77885502</t>
        </is>
      </c>
      <c r="C12" s="13" t="inlineStr">
        <is>
          <t>Cajero</t>
        </is>
      </c>
      <c r="D12" s="14" t="n">
        <v>-75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82385880</t>
        </is>
      </c>
      <c r="C13" s="15" t="inlineStr">
        <is>
          <t>Almacenero</t>
        </is>
      </c>
      <c r="D13" s="16" t="n">
        <v>34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19838727</t>
        </is>
      </c>
      <c r="C14" s="13" t="inlineStr">
        <is>
          <t>Contador</t>
        </is>
      </c>
      <c r="D14" s="14" t="n">
        <v>264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28533296</t>
        </is>
      </c>
      <c r="C15" s="15" t="inlineStr">
        <is>
          <t>Motorizado</t>
        </is>
      </c>
      <c r="D15" s="16" t="n">
        <v>80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23037742</t>
        </is>
      </c>
      <c r="C16" s="13" t="inlineStr">
        <is>
          <t>Seguridad</t>
        </is>
      </c>
      <c r="D16" s="14" t="n">
        <v>35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21641949</t>
        </is>
      </c>
      <c r="C17" s="15" t="inlineStr">
        <is>
          <t>Limpieza</t>
        </is>
      </c>
      <c r="D17" s="16" t="n">
        <v>140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65102032</t>
        </is>
      </c>
      <c r="C18" s="13" t="inlineStr">
        <is>
          <t>Auxiliar</t>
        </is>
      </c>
      <c r="D18" s="14" t="n">
        <v>249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36250313</t>
        </is>
      </c>
      <c r="C19" s="15" t="inlineStr">
        <is>
          <t>Supervisor</t>
        </is>
      </c>
      <c r="D19" s="16" t="n">
        <v>389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0</v>
      </c>
      <c r="L19" s="16">
        <f>D19+F19+H19+I19+J19+K19</f>
        <v/>
      </c>
      <c r="M19" s="16">
        <f>E19</f>
        <v/>
      </c>
    </row>
    <row r="20">
      <c r="A20" s="17" t="inlineStr">
        <is>
          <t>TOTALES</t>
        </is>
      </c>
      <c r="D20" s="18">
        <f>SUM(D10:D19)</f>
        <v/>
      </c>
      <c r="E20" s="18">
        <f>SUM(E10:E19)</f>
        <v/>
      </c>
      <c r="F20" s="18">
        <f>SUM(F10:F19)</f>
        <v/>
      </c>
      <c r="G20" s="18">
        <f>SUM(G10:G19)</f>
        <v/>
      </c>
      <c r="H20" s="18">
        <f>SUM(H10:H19)</f>
        <v/>
      </c>
      <c r="I20" s="18">
        <f>SUM(I10:I19)</f>
        <v/>
      </c>
      <c r="J20" s="18">
        <f>SUM(J10:J19)</f>
        <v/>
      </c>
      <c r="K20" s="18">
        <f>SUM(K10:K19)</f>
        <v/>
      </c>
      <c r="L20" s="18">
        <f>SUM(L10:L19)</f>
        <v/>
      </c>
      <c r="M20" s="18">
        <f>SUM(M10:M19)</f>
        <v/>
      </c>
    </row>
    <row r="36">
      <c r="A36" s="19" t="inlineStr">
        <is>
          <t>REGIMEN</t>
        </is>
      </c>
      <c r="B36" s="19" t="inlineStr">
        <is>
          <t>CANTIDAD</t>
        </is>
      </c>
    </row>
    <row r="37">
      <c r="A37" t="inlineStr">
        <is>
          <t>AFP</t>
        </is>
      </c>
      <c r="B37" t="n">
        <v>5</v>
      </c>
    </row>
    <row r="38">
      <c r="A38" t="inlineStr">
        <is>
          <t>ONP</t>
        </is>
      </c>
      <c r="B38" t="n">
        <v>5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Electricista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52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