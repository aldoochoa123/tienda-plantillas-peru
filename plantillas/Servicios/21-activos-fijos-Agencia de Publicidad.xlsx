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os Fijos" state="visible" r:id="rId4"/>
  </sheets>
  <calcPr calcId="171027"/>
</workbook>
</file>

<file path=xl/sharedStrings.xml><?xml version="1.0" encoding="utf-8"?>
<sst xmlns="http://schemas.openxmlformats.org/spreadsheetml/2006/main" count="47" uniqueCount="36">
  <si>
    <t>CONTROL DE ACTIVOS FIJOS — AGENCIA DE PUBLICIDAD</t>
  </si>
  <si>
    <t>Depreciación mensual y valorización</t>
  </si>
  <si>
    <t>Código</t>
  </si>
  <si>
    <t>Activo</t>
  </si>
  <si>
    <t>Fecha Adq.</t>
  </si>
  <si>
    <t>Costo</t>
  </si>
  <si>
    <t>Vida Útil</t>
  </si>
  <si>
    <t>Dep. Mensual</t>
  </si>
  <si>
    <t>Dep. Acum.</t>
  </si>
  <si>
    <t>Valor Neto</t>
  </si>
  <si>
    <t>Meses Dep.</t>
  </si>
  <si>
    <t>Estado</t>
  </si>
  <si>
    <t>AF-001</t>
  </si>
  <si>
    <t>Computadora Dell</t>
  </si>
  <si>
    <t>En Depreciación</t>
  </si>
  <si>
    <t>AF-002</t>
  </si>
  <si>
    <t>Impresora HP</t>
  </si>
  <si>
    <t>AF-003</t>
  </si>
  <si>
    <t>Mesa de Oficina</t>
  </si>
  <si>
    <t>AF-004</t>
  </si>
  <si>
    <t>Silla Ergonómica</t>
  </si>
  <si>
    <t>AF-005</t>
  </si>
  <si>
    <t>Aire Acondicionado</t>
  </si>
  <si>
    <t>AF-006</t>
  </si>
  <si>
    <t>Refrigeradora</t>
  </si>
  <si>
    <t>AF-007</t>
  </si>
  <si>
    <t>Mueble Archivo</t>
  </si>
  <si>
    <t>AF-008</t>
  </si>
  <si>
    <t>Proyector Epson</t>
  </si>
  <si>
    <t>AF-009</t>
  </si>
  <si>
    <t>Estabilizador</t>
  </si>
  <si>
    <t>AF-010</t>
  </si>
  <si>
    <t>Equipo de Sonido</t>
  </si>
  <si>
    <t/>
  </si>
  <si>
    <t>TOTAL</t>
  </si>
  <si>
    <t>Agencia de Publicidad · Activos Fijos y Depreciación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</si>
</sst>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 showGridLines="0"/>
  </sheetViews>
  <sheetFormatPr defaultRowHeight="15" outlineLevelRow="0" outlineLevelCol="0" x14ac:dyDescent="55"/>
  <cols>
    <col min="1" max="2" width="22" customWidth="1"/>
    <col min="3" max="3" width="12" customWidth="1"/>
    <col min="4" max="5" width="14" customWidth="1"/>
    <col min="6" max="6" width="12" customWidth="1"/>
    <col min="7" max="8" width="14" customWidth="1"/>
    <col min="9" max="9" width="12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 t="s">
        <v>12</v>
      </c>
      <c r="B5" s="4" t="s">
        <v>13</v>
      </c>
      <c r="C5" s="5">
        <v>45962</v>
      </c>
      <c r="D5" s="6">
        <v>4500</v>
      </c>
      <c r="E5" s="7">
        <v>36</v>
      </c>
      <c r="F5" s="6">
        <v>125</v>
      </c>
      <c r="G5" s="6">
        <f>F5*$G$4</f>
      </c>
      <c r="H5" s="6">
        <f>D5-G5</f>
      </c>
      <c r="I5" s="7">
        <v>8</v>
      </c>
      <c r="J5" s="4" t="s">
        <v>14</v>
      </c>
    </row>
    <row r="6" spans="1:10" x14ac:dyDescent="0.25">
      <c r="A6" s="8" t="s">
        <v>15</v>
      </c>
      <c r="B6" s="8" t="s">
        <v>16</v>
      </c>
      <c r="C6" s="9">
        <v>45967</v>
      </c>
      <c r="D6" s="10">
        <v>1200</v>
      </c>
      <c r="E6" s="11">
        <v>48</v>
      </c>
      <c r="F6" s="10">
        <v>25</v>
      </c>
      <c r="G6" s="10">
        <f>F6*$G$4</f>
      </c>
      <c r="H6" s="10">
        <f>D6-G6</f>
      </c>
      <c r="I6" s="11">
        <v>14</v>
      </c>
      <c r="J6" s="8" t="s">
        <v>14</v>
      </c>
    </row>
    <row r="7" spans="1:10" x14ac:dyDescent="0.25">
      <c r="A7" s="4" t="s">
        <v>17</v>
      </c>
      <c r="B7" s="4" t="s">
        <v>18</v>
      </c>
      <c r="C7" s="5">
        <v>45716</v>
      </c>
      <c r="D7" s="6">
        <v>800</v>
      </c>
      <c r="E7" s="7">
        <v>120</v>
      </c>
      <c r="F7" s="6">
        <v>6.67</v>
      </c>
      <c r="G7" s="6">
        <f>F7*$G$4</f>
      </c>
      <c r="H7" s="6">
        <f>D7-G7</f>
      </c>
      <c r="I7" s="7">
        <v>10</v>
      </c>
      <c r="J7" s="4" t="s">
        <v>14</v>
      </c>
    </row>
    <row r="8" spans="1:10" x14ac:dyDescent="0.25">
      <c r="A8" s="8" t="s">
        <v>19</v>
      </c>
      <c r="B8" s="8" t="s">
        <v>20</v>
      </c>
      <c r="C8" s="9">
        <v>45695</v>
      </c>
      <c r="D8" s="10">
        <v>650</v>
      </c>
      <c r="E8" s="11">
        <v>60</v>
      </c>
      <c r="F8" s="10">
        <v>10.83</v>
      </c>
      <c r="G8" s="10">
        <f>F8*$G$4</f>
      </c>
      <c r="H8" s="10">
        <f>D8-G8</f>
      </c>
      <c r="I8" s="11">
        <v>11</v>
      </c>
      <c r="J8" s="8" t="s">
        <v>14</v>
      </c>
    </row>
    <row r="9" spans="1:10" x14ac:dyDescent="0.25">
      <c r="A9" s="4" t="s">
        <v>21</v>
      </c>
      <c r="B9" s="4" t="s">
        <v>22</v>
      </c>
      <c r="C9" s="5">
        <v>45820</v>
      </c>
      <c r="D9" s="6">
        <v>3200</v>
      </c>
      <c r="E9" s="7">
        <v>72</v>
      </c>
      <c r="F9" s="6">
        <v>44.44</v>
      </c>
      <c r="G9" s="6">
        <f>F9*$G$4</f>
      </c>
      <c r="H9" s="6">
        <f>D9-G9</f>
      </c>
      <c r="I9" s="7">
        <v>13</v>
      </c>
      <c r="J9" s="4" t="s">
        <v>14</v>
      </c>
    </row>
    <row r="10" spans="1:10" x14ac:dyDescent="0.25">
      <c r="A10" s="8" t="s">
        <v>23</v>
      </c>
      <c r="B10" s="8" t="s">
        <v>24</v>
      </c>
      <c r="C10" s="9">
        <v>45724</v>
      </c>
      <c r="D10" s="10">
        <v>2800</v>
      </c>
      <c r="E10" s="11">
        <v>84</v>
      </c>
      <c r="F10" s="10">
        <v>33.33</v>
      </c>
      <c r="G10" s="10">
        <f>F10*$G$4</f>
      </c>
      <c r="H10" s="10">
        <f>D10-G10</f>
      </c>
      <c r="I10" s="11">
        <v>16</v>
      </c>
      <c r="J10" s="8" t="s">
        <v>14</v>
      </c>
    </row>
    <row r="11" spans="1:10" x14ac:dyDescent="0.25">
      <c r="A11" s="4" t="s">
        <v>25</v>
      </c>
      <c r="B11" s="4" t="s">
        <v>26</v>
      </c>
      <c r="C11" s="5">
        <v>45772</v>
      </c>
      <c r="D11" s="6">
        <v>950</v>
      </c>
      <c r="E11" s="7">
        <v>120</v>
      </c>
      <c r="F11" s="6">
        <v>7.92</v>
      </c>
      <c r="G11" s="6">
        <f>F11*$G$4</f>
      </c>
      <c r="H11" s="6">
        <f>D11-G11</f>
      </c>
      <c r="I11" s="7">
        <v>9</v>
      </c>
      <c r="J11" s="4" t="s">
        <v>14</v>
      </c>
    </row>
    <row r="12" spans="1:10" x14ac:dyDescent="0.25">
      <c r="A12" s="8" t="s">
        <v>27</v>
      </c>
      <c r="B12" s="8" t="s">
        <v>28</v>
      </c>
      <c r="C12" s="9">
        <v>45691</v>
      </c>
      <c r="D12" s="10">
        <v>2100</v>
      </c>
      <c r="E12" s="11">
        <v>48</v>
      </c>
      <c r="F12" s="10">
        <v>43.75</v>
      </c>
      <c r="G12" s="10">
        <f>F12*$G$4</f>
      </c>
      <c r="H12" s="10">
        <f>D12-G12</f>
      </c>
      <c r="I12" s="11">
        <v>6</v>
      </c>
      <c r="J12" s="8" t="s">
        <v>14</v>
      </c>
    </row>
    <row r="13" spans="1:10" x14ac:dyDescent="0.25">
      <c r="A13" s="4" t="s">
        <v>29</v>
      </c>
      <c r="B13" s="4" t="s">
        <v>30</v>
      </c>
      <c r="C13" s="5">
        <v>45890</v>
      </c>
      <c r="D13" s="6">
        <v>450</v>
      </c>
      <c r="E13" s="7">
        <v>60</v>
      </c>
      <c r="F13" s="6">
        <v>7.5</v>
      </c>
      <c r="G13" s="6">
        <f>F13*$G$4</f>
      </c>
      <c r="H13" s="6">
        <f>D13-G13</f>
      </c>
      <c r="I13" s="7">
        <v>9</v>
      </c>
      <c r="J13" s="4" t="s">
        <v>14</v>
      </c>
    </row>
    <row r="14" spans="1:10" x14ac:dyDescent="0.25">
      <c r="A14" s="8" t="s">
        <v>31</v>
      </c>
      <c r="B14" s="8" t="s">
        <v>32</v>
      </c>
      <c r="C14" s="9">
        <v>45881</v>
      </c>
      <c r="D14" s="10">
        <v>1800</v>
      </c>
      <c r="E14" s="11">
        <v>60</v>
      </c>
      <c r="F14" s="10">
        <v>30</v>
      </c>
      <c r="G14" s="10">
        <f>F14*$G$4</f>
      </c>
      <c r="H14" s="10">
        <f>D14-G14</f>
      </c>
      <c r="I14" s="11">
        <v>17</v>
      </c>
      <c r="J14" s="8" t="s">
        <v>14</v>
      </c>
    </row>
    <row r="15" spans="1:8" x14ac:dyDescent="0.25">
      <c r="A15" s="12" t="s">
        <v>33</v>
      </c>
      <c r="B15" s="12" t="s">
        <v>34</v>
      </c>
      <c r="C15" s="12" t="s">
        <v>33</v>
      </c>
      <c r="D15" s="13">
        <f>SUM(D5:D14)</f>
      </c>
      <c r="E15" s="12" t="s">
        <v>33</v>
      </c>
      <c r="F15" s="13">
        <f>SUM(F5:F14)</f>
      </c>
      <c r="G15" s="13">
        <f>SUM(G5:G14)</f>
      </c>
      <c r="H15" s="13">
        <f>SUM(H5:H14)</f>
      </c>
    </row>
    <row r="17" spans="1:10" x14ac:dyDescent="0.25">
      <c r="A17" s="14" t="s">
        <v>35</v>
      </c>
      <c r="B17" s="14"/>
      <c r="C17" s="14"/>
      <c r="D17" s="14"/>
      <c r="E17" s="14"/>
      <c r="F17" s="14"/>
      <c r="G17" s="14"/>
      <c r="H17" s="14"/>
      <c r="I17" s="14"/>
      <c r="J17" s="14"/>
    </row>
  </sheetData>
  <mergeCells count="3">
    <mergeCell ref="A1:J1"/>
    <mergeCell ref="A2:J2"/>
    <mergeCell ref="A17:J17"/>
  </mergeCells>
  <conditionalFormatting sqref="J5:J14">
    <cfRule type="cellIs" dxfId="0" priority="1" operator="equal">
      <formula>"Fully Dep."</formula>
    </cfRule>
    <cfRule type="cellIs" dxfId="1" priority="2" operator="equal">
      <formula>"En Depreciación"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Activos Fijos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