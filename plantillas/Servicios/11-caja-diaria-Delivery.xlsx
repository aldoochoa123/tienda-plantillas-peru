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<sst xmlns="http://schemas.openxmlformats.org/spreadsheetml/2006/main" count="129" uniqueCount="90">
  <si>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DELIVERY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</si>
  <si>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</si>
  <si>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</si>
  <si>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</si>
  <si>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</si>
  <si>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</si>
  <si>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</si>
  <si>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</si>
  <si>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</si>
  <si>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</si>
  <si>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</si>
  <si>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</si>
  <si>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Pago en destino</t>
  </si>
  <si>
    <t>08:30</t>
  </si>
  <si>
    <t>B001-10001</t>
  </si>
  <si>
    <t>Yape</t>
  </si>
  <si>
    <t>09:15</t>
  </si>
  <si>
    <t>B001-10002</t>
  </si>
  <si>
    <t>Plin</t>
  </si>
  <si>
    <t>09:45</t>
  </si>
  <si>
    <t>B001-10003</t>
  </si>
  <si>
    <t>Encomienda</t>
  </si>
  <si>
    <t>10:20</t>
  </si>
  <si>
    <t>B001-10004</t>
  </si>
  <si>
    <t>Tarjeta</t>
  </si>
  <si>
    <t>Entrega distrito</t>
  </si>
  <si>
    <t>11:00</t>
  </si>
  <si>
    <t>B001-10005</t>
  </si>
  <si>
    <t>11:40</t>
  </si>
  <si>
    <t>B001-10006</t>
  </si>
  <si>
    <t>Mandado</t>
  </si>
  <si>
    <t>12:15</t>
  </si>
  <si>
    <t>B001-10007</t>
  </si>
  <si>
    <t>Entrega programada</t>
  </si>
  <si>
    <t>12:50</t>
  </si>
  <si>
    <t>B001-10008</t>
  </si>
  <si>
    <t>Transferencia</t>
  </si>
  <si>
    <t>Recolección</t>
  </si>
  <si>
    <t>13:30</t>
  </si>
  <si>
    <t>B001-10009</t>
  </si>
  <si>
    <t>14:10</t>
  </si>
  <si>
    <t>B001-10010</t>
  </si>
  <si>
    <t>15:00</t>
  </si>
  <si>
    <t>B001-10011</t>
  </si>
  <si>
    <t>Entrega express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</si>
  <si>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</si>
  <si>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</si>
  <si>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</si>
  <si>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</si>
  <si>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</si>
  <si>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</si>
  <si>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</si>
  <si>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</si>
  <si>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</si>
  <si>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</si>
  <si>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</si>
  <si>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</si>
  <si>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</si>
  <si>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</si>
  <si>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</si>
  <si>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</si>
  <si>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</si>
  <si>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</si>
  <si>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</si>
  <si>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</si>
  <si>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</si>
  <si>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</si>
  <si>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</si>
  <si>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</si>
  <si>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</si>
  <si>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</si>
  <si>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</si>
  <si>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</si>
  <si>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</si>
  <si>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</si>
  <si>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</si>
  <si>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</si>
  <si>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</si>
  <si>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DELIVERY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</si>
  <si>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</si>
  <si>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</si>
  <si>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</si>
  <si>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</si>
  <si>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</si>
  <si>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</si>
  <si>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</si>
  <si>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</si>
  <si>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</si>
  <si>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</si>
  <si>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Delivery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</si>
</sst>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18.6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4.52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12</v>
      </c>
      <c r="E7" s="5">
        <v>14.88</v>
      </c>
      <c r="F7" s="5">
        <f>ROUND(E7/1.18*0.18,2)</f>
      </c>
      <c r="G7" s="5">
        <f>E7</f>
      </c>
    </row>
    <row r="8" spans="1:7" x14ac:dyDescent="0.25">
      <c r="A8" s="6" t="s">
        <v>19</v>
      </c>
      <c r="B8" s="6" t="s">
        <v>20</v>
      </c>
      <c r="C8" s="6" t="s">
        <v>11</v>
      </c>
      <c r="D8" s="6" t="s">
        <v>21</v>
      </c>
      <c r="E8" s="7">
        <v>54.47</v>
      </c>
      <c r="F8" s="7">
        <f>ROUND(E8/1.18*0.18,2)</f>
      </c>
      <c r="G8" s="7">
        <f>E8</f>
      </c>
    </row>
    <row r="9" spans="1:7" x14ac:dyDescent="0.25">
      <c r="A9" s="4" t="s">
        <v>22</v>
      </c>
      <c r="B9" s="4" t="s">
        <v>23</v>
      </c>
      <c r="C9" s="4" t="s">
        <v>24</v>
      </c>
      <c r="D9" s="4" t="s">
        <v>25</v>
      </c>
      <c r="E9" s="5">
        <v>8.77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25</v>
      </c>
      <c r="E10" s="7">
        <v>38.16</v>
      </c>
      <c r="F10" s="7">
        <f>ROUND(E10/1.18*0.18,2)</f>
      </c>
      <c r="G10" s="7">
        <f>E10</f>
      </c>
    </row>
    <row r="11" spans="1:7" x14ac:dyDescent="0.25">
      <c r="A11" s="4" t="s">
        <v>28</v>
      </c>
      <c r="B11" s="4" t="s">
        <v>29</v>
      </c>
      <c r="C11" s="4" t="s">
        <v>11</v>
      </c>
      <c r="D11" s="4" t="s">
        <v>30</v>
      </c>
      <c r="E11" s="5">
        <v>42.68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33</v>
      </c>
      <c r="E12" s="7">
        <v>4.52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37</v>
      </c>
      <c r="E13" s="5">
        <v>33.57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25</v>
      </c>
      <c r="E14" s="7">
        <v>25.01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25</v>
      </c>
      <c r="E15" s="5">
        <v>18.51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44</v>
      </c>
      <c r="E16" s="7">
        <v>45.99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18</v>
      </c>
      <c r="D17" s="4" t="s">
        <v>44</v>
      </c>
      <c r="E17" s="5">
        <v>41.69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37</v>
      </c>
      <c r="E18" s="7">
        <v>21.61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24</v>
      </c>
      <c r="D19" s="4" t="s">
        <v>30</v>
      </c>
      <c r="E19" s="5">
        <v>29.85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12</v>
      </c>
      <c r="E20" s="7">
        <v>34.54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44</v>
      </c>
      <c r="E21" s="5">
        <v>37.98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37</v>
      </c>
      <c r="E22" s="7">
        <v>12.65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33</v>
      </c>
      <c r="E23" s="5">
        <v>25.48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44</v>
      </c>
      <c r="E24" s="7">
        <v>26.15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3</v>
      </c>
      <c r="C5" s="5">
        <f>200*B5</f>
      </c>
    </row>
    <row r="6" spans="1:3" x14ac:dyDescent="0.25">
      <c r="A6" s="6" t="s">
        <v>67</v>
      </c>
      <c r="B6" s="9">
        <v>4</v>
      </c>
      <c r="C6" s="7">
        <f>100*B6</f>
      </c>
    </row>
    <row r="7" spans="1:3" x14ac:dyDescent="0.25">
      <c r="A7" s="4" t="s">
        <v>68</v>
      </c>
      <c r="B7" s="8">
        <v>3</v>
      </c>
      <c r="C7" s="5">
        <f>50*B7</f>
      </c>
    </row>
    <row r="8" spans="1:3" x14ac:dyDescent="0.25">
      <c r="A8" s="6" t="s">
        <v>69</v>
      </c>
      <c r="B8" s="9">
        <v>9</v>
      </c>
      <c r="C8" s="7">
        <f>20*B8</f>
      </c>
    </row>
    <row r="9" spans="1:3" x14ac:dyDescent="0.25">
      <c r="A9" s="4" t="s">
        <v>70</v>
      </c>
      <c r="B9" s="8">
        <v>6</v>
      </c>
      <c r="C9" s="5">
        <f>10*B9</f>
      </c>
    </row>
    <row r="10" spans="1:3" x14ac:dyDescent="0.25">
      <c r="A10" s="6" t="s">
        <v>71</v>
      </c>
      <c r="B10" s="9">
        <v>2</v>
      </c>
      <c r="C10" s="7">
        <f>5*B10</f>
      </c>
    </row>
    <row r="11" spans="1:3" x14ac:dyDescent="0.25">
      <c r="A11" s="4" t="s">
        <v>72</v>
      </c>
      <c r="B11" s="8">
        <v>10</v>
      </c>
      <c r="C11" s="5">
        <f>2*B11</f>
      </c>
    </row>
    <row r="12" spans="1:3" x14ac:dyDescent="0.25">
      <c r="A12" s="6" t="s">
        <v>73</v>
      </c>
      <c r="B12" s="9">
        <v>10</v>
      </c>
      <c r="C12" s="7">
        <f>1*B12</f>
      </c>
    </row>
    <row r="13" spans="1:3" x14ac:dyDescent="0.25">
      <c r="A13" s="4" t="s">
        <v>74</v>
      </c>
      <c r="B13" s="8">
        <v>18</v>
      </c>
      <c r="C13" s="5">
        <f>0.5*B13</f>
      </c>
    </row>
    <row r="14" spans="1:3" x14ac:dyDescent="0.25">
      <c r="A14" s="6" t="s">
        <v>75</v>
      </c>
      <c r="B14" s="9">
        <v>9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24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{B5887906-AAD9-4267-BDCB-DEDE66CF1C77}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887906-AAD9-4267-BDCB-DEDE66CF1C77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