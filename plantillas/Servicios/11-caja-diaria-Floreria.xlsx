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<sst xmlns="http://schemas.openxmlformats.org/spreadsheetml/2006/main" count="129" uniqueCount="91">
  <si>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FLORERÍA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</si>
  <si>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</si>
  <si>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</si>
  <si>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</si>
  <si>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</si>
  <si>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</si>
  <si>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</si>
  <si>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</si>
  <si>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</si>
  <si>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</si>
  <si>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</si>
  <si>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</si>
  <si>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Arreglo floral</t>
  </si>
  <si>
    <t>08:30</t>
  </si>
  <si>
    <t>B001-10001</t>
  </si>
  <si>
    <t>Yape</t>
  </si>
  <si>
    <t>Caja floral</t>
  </si>
  <si>
    <t>09:15</t>
  </si>
  <si>
    <t>B001-10002</t>
  </si>
  <si>
    <t>Plin</t>
  </si>
  <si>
    <t>09:45</t>
  </si>
  <si>
    <t>B001-10003</t>
  </si>
  <si>
    <t>Planta ornamental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</si>
  <si>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</si>
  <si>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</si>
  <si>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</si>
  <si>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</si>
  <si>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</si>
  <si>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</si>
  <si>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</si>
  <si>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</si>
  <si>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</si>
  <si>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Ramo de cumpleaños</t>
  </si>
  <si>
    <t>12:50</t>
  </si>
  <si>
    <t>B001-10008</t>
  </si>
  <si>
    <t>Transferencia</t>
  </si>
  <si>
    <t>13:30</t>
  </si>
  <si>
    <t>B001-10009</t>
  </si>
  <si>
    <t>Ramo de rosas</t>
  </si>
  <si>
    <t>14:10</t>
  </si>
  <si>
    <t>B001-10010</t>
  </si>
  <si>
    <t>Tulipanes importados</t>
  </si>
  <si>
    <t>15:00</t>
  </si>
  <si>
    <t>B001-10011</t>
  </si>
  <si>
    <t>15:30</t>
  </si>
  <si>
    <t>B001-10012</t>
  </si>
  <si>
    <t>Decoración de evento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</si>
  <si>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</si>
  <si>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</si>
  <si>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</si>
  <si>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</si>
  <si>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</si>
  <si>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</si>
  <si>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</si>
  <si>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</si>
  <si>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</si>
  <si>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</si>
  <si>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</si>
  <si>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</si>
  <si>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Corona funeraria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</si>
  <si>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</si>
  <si>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</si>
  <si>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</si>
  <si>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</si>
  <si>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</si>
  <si>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</si>
  <si>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</si>
  <si>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</si>
  <si>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</si>
  <si>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</si>
  <si>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</si>
  <si>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</si>
  <si>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</si>
  <si>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</si>
  <si>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</si>
  <si>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</si>
  <si>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</si>
  <si>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</si>
  <si>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</si>
  <si>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FLORERÍA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</si>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</sst>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34.73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24.39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51.65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33.38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22</v>
      </c>
      <c r="E9" s="5">
        <v>8.59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16</v>
      </c>
      <c r="E10" s="7">
        <v>38.04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22</v>
      </c>
      <c r="E11" s="5">
        <v>32.06</v>
      </c>
      <c r="F11" s="5">
        <f>ROUND(E11/1.18*0.18,2)</f>
      </c>
      <c r="G11" s="5">
        <f>E11</f>
      </c>
    </row>
    <row r="12" spans="1:7" x14ac:dyDescent="0.25">
      <c r="A12" s="6" t="s">
        <v>30</v>
      </c>
      <c r="B12" s="6" t="s">
        <v>31</v>
      </c>
      <c r="C12" s="6" t="s">
        <v>11</v>
      </c>
      <c r="D12" s="6" t="s">
        <v>32</v>
      </c>
      <c r="E12" s="7">
        <v>30.61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32</v>
      </c>
      <c r="E13" s="5">
        <v>16.24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24.36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23.66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38</v>
      </c>
      <c r="E16" s="7">
        <v>42.43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27.14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38</v>
      </c>
      <c r="E18" s="7">
        <v>3.26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32</v>
      </c>
      <c r="E19" s="5">
        <v>27.7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46</v>
      </c>
      <c r="E20" s="7">
        <v>31.84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16</v>
      </c>
      <c r="E21" s="5">
        <v>8.29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22</v>
      </c>
      <c r="E22" s="7">
        <v>9.08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59</v>
      </c>
      <c r="E23" s="5">
        <v>8.8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46</v>
      </c>
      <c r="E24" s="7">
        <v>43.86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11</v>
      </c>
      <c r="C8" s="7">
        <f>20*B8</f>
      </c>
    </row>
    <row r="9" spans="1:3" x14ac:dyDescent="0.25">
      <c r="A9" s="4" t="s">
        <v>71</v>
      </c>
      <c r="B9" s="8">
        <v>3</v>
      </c>
      <c r="C9" s="5">
        <f>10*B9</f>
      </c>
    </row>
    <row r="10" spans="1:3" x14ac:dyDescent="0.25">
      <c r="A10" s="6" t="s">
        <v>72</v>
      </c>
      <c r="B10" s="9">
        <v>6</v>
      </c>
      <c r="C10" s="7">
        <f>5*B10</f>
      </c>
    </row>
    <row r="11" spans="1:3" x14ac:dyDescent="0.25">
      <c r="A11" s="4" t="s">
        <v>73</v>
      </c>
      <c r="B11" s="8">
        <v>9</v>
      </c>
      <c r="C11" s="5">
        <f>2*B11</f>
      </c>
    </row>
    <row r="12" spans="1:3" x14ac:dyDescent="0.25">
      <c r="A12" s="6" t="s">
        <v>74</v>
      </c>
      <c r="B12" s="9">
        <v>16</v>
      </c>
      <c r="C12" s="7">
        <f>1*B12</f>
      </c>
    </row>
    <row r="13" spans="1:3" x14ac:dyDescent="0.25">
      <c r="A13" s="4" t="s">
        <v>75</v>
      </c>
      <c r="B13" s="8">
        <v>11</v>
      </c>
      <c r="C13" s="5">
        <f>0.5*B13</f>
      </c>
    </row>
    <row r="14" spans="1:3" x14ac:dyDescent="0.25">
      <c r="A14" s="6" t="s">
        <v>76</v>
      </c>
      <c r="B14" s="9">
        <v>5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{A9C26AFA-E7DF-4EAA-A933-F5022241A98D}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C26AFA-E7DF-4EAA-A933-F5022241A98D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