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CIBERCAFE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3</v>
      </c>
      <c r="E5" s="9" t="n">
        <v>1</v>
      </c>
      <c r="G5" s="10" t="n">
        <v>75110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21899</v>
      </c>
      <c r="F10" s="14" t="n">
        <v>12340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14399</v>
      </c>
      <c r="F11" s="17" t="n">
        <v>12483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21970</v>
      </c>
      <c r="F12" s="14" t="n">
        <v>19083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24257</v>
      </c>
      <c r="F13" s="17" t="n">
        <v>12855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17293</v>
      </c>
      <c r="F14" s="14" t="n">
        <v>12807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7004</v>
      </c>
      <c r="F15" s="17" t="n">
        <v>4701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16398</v>
      </c>
      <c r="F16" s="14" t="n">
        <v>15498</v>
      </c>
      <c r="G16" s="15">
        <f>IF(E16&gt;0,F16/E16,0)</f>
        <v/>
      </c>
      <c r="H16" s="13" t="inlineStr">
        <is>
          <t>Pendiente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2</v>
      </c>
    </row>
    <row r="35">
      <c r="A35" t="inlineStr">
        <is>
          <t>Pendiente</t>
        </is>
      </c>
      <c r="B35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