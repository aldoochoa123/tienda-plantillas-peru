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'Proyectos'!$A$10:$A$17</f>
            </numRef>
          </cat>
          <val>
            <numRef>
              <f>'Proyectos'!$G$10:$G$17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'Proyectos'!$A$34:$A$36</f>
            </numRef>
          </cat>
          <val>
            <numRef>
              <f>'Proyectos'!$B$34:$B$36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32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LICORERIA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8</v>
      </c>
      <c r="C5" s="8" t="n">
        <v>3</v>
      </c>
      <c r="E5" s="9" t="n">
        <v>2</v>
      </c>
      <c r="G5" s="10" t="n">
        <v>137248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11509</v>
      </c>
      <c r="F10" s="14" t="n">
        <v>7446</v>
      </c>
      <c r="G10" s="15">
        <f>IF(E10&gt;0,F10/E10,0)</f>
        <v/>
      </c>
      <c r="H10" s="13" t="inlineStr">
        <is>
          <t>Completado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15283</v>
      </c>
      <c r="F11" s="17" t="n">
        <v>9860</v>
      </c>
      <c r="G11" s="18">
        <f>IF(E11&gt;0,F11/E11,0)</f>
        <v/>
      </c>
      <c r="H11" s="16" t="inlineStr">
        <is>
          <t>Completado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5465</v>
      </c>
      <c r="F12" s="14" t="n">
        <v>2610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20331</v>
      </c>
      <c r="F13" s="17" t="n">
        <v>9628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13934</v>
      </c>
      <c r="F14" s="14" t="n">
        <v>11858</v>
      </c>
      <c r="G14" s="15">
        <f>IF(E14&gt;0,F14/E14,0)</f>
        <v/>
      </c>
      <c r="H14" s="13" t="inlineStr">
        <is>
          <t>Pendiente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11180</v>
      </c>
      <c r="F15" s="17" t="n">
        <v>7728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8658</v>
      </c>
      <c r="F16" s="14" t="n">
        <v>5610</v>
      </c>
      <c r="G16" s="15">
        <f>IF(E16&gt;0,F16/E16,0)</f>
        <v/>
      </c>
      <c r="H16" s="13" t="inlineStr">
        <is>
          <t>En proceso</t>
        </is>
      </c>
    </row>
    <row r="17">
      <c r="A17" s="16" t="inlineStr">
        <is>
          <t>Proyecto H</t>
        </is>
      </c>
      <c r="B17" s="16" t="inlineStr">
        <is>
          <t>Carmen</t>
        </is>
      </c>
      <c r="C17" s="16" t="inlineStr">
        <is>
          <t>01/08/2025</t>
        </is>
      </c>
      <c r="D17" s="16" t="inlineStr">
        <is>
          <t>30/11/2025</t>
        </is>
      </c>
      <c r="E17" s="17" t="n">
        <v>9618</v>
      </c>
      <c r="F17" s="17" t="n">
        <v>4477</v>
      </c>
      <c r="G17" s="18">
        <f>IF(E17&gt;0,F17/E17,0)</f>
        <v/>
      </c>
      <c r="H17" s="16" t="inlineStr">
        <is>
          <t>Pendiente</t>
        </is>
      </c>
    </row>
    <row r="33">
      <c r="A33" s="19" t="inlineStr">
        <is>
          <t>ESTADO</t>
        </is>
      </c>
      <c r="B33" s="19" t="inlineStr">
        <is>
          <t>CANTIDAD</t>
        </is>
      </c>
    </row>
    <row r="34">
      <c r="A34" t="inlineStr">
        <is>
          <t>En proceso</t>
        </is>
      </c>
      <c r="B34" t="n">
        <v>2</v>
      </c>
    </row>
    <row r="35">
      <c r="A35" t="inlineStr">
        <is>
          <t>Completado</t>
        </is>
      </c>
      <c r="B35" t="n">
        <v>2</v>
      </c>
    </row>
    <row r="36">
      <c r="A36" t="inlineStr">
        <is>
          <t>Pendiente</t>
        </is>
      </c>
      <c r="B36" t="n">
        <v>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7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7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