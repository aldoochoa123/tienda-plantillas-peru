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LICORERIA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18000</v>
      </c>
      <c r="C5" s="8" t="n">
        <v>438000</v>
      </c>
      <c r="E5" s="9" t="n">
        <v>310250</v>
      </c>
      <c r="G5" s="10" t="n">
        <v>145750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41662</v>
      </c>
      <c r="C10" s="14" t="n">
        <v>24775</v>
      </c>
      <c r="D10" s="14">
        <f>B10-C10</f>
        <v/>
      </c>
      <c r="E10" s="14">
        <f>D10+18000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40479</v>
      </c>
      <c r="C11" s="16" t="n">
        <v>27260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41421</v>
      </c>
      <c r="C12" s="14" t="n">
        <v>30216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40529</v>
      </c>
      <c r="C13" s="16" t="n">
        <v>23706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31593</v>
      </c>
      <c r="C14" s="14" t="n">
        <v>30589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39329</v>
      </c>
      <c r="C15" s="16" t="n">
        <v>28276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38482</v>
      </c>
      <c r="C16" s="14" t="n">
        <v>29574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43022</v>
      </c>
      <c r="C17" s="16" t="n">
        <v>22509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30163</v>
      </c>
      <c r="C18" s="14" t="n">
        <v>28940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35203</v>
      </c>
      <c r="C19" s="16" t="n">
        <v>27564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34857</v>
      </c>
      <c r="C20" s="14" t="n">
        <v>25203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33149</v>
      </c>
      <c r="C21" s="16" t="n">
        <v>30571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108587</v>
      </c>
    </row>
    <row r="42">
      <c r="A42" t="inlineStr">
        <is>
          <t>Alquiler</t>
        </is>
      </c>
      <c r="B42" t="n">
        <v>62050</v>
      </c>
    </row>
    <row r="43">
      <c r="A43" t="inlineStr">
        <is>
          <t>Insumos</t>
        </is>
      </c>
      <c r="B43" t="n">
        <v>55845</v>
      </c>
    </row>
    <row r="44">
      <c r="A44" t="inlineStr">
        <is>
          <t>Servicios</t>
        </is>
      </c>
      <c r="B44" t="n">
        <v>37230</v>
      </c>
    </row>
    <row r="45">
      <c r="A45" t="inlineStr">
        <is>
          <t>Marketing</t>
        </is>
      </c>
      <c r="B45" t="n">
        <v>24820</v>
      </c>
    </row>
    <row r="46">
      <c r="A46" t="inlineStr">
        <is>
          <t>Otros</t>
        </is>
      </c>
      <c r="B46" t="n">
        <v>21717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