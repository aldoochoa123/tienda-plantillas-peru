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HELADERIA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9000</v>
      </c>
      <c r="C5" s="8" t="n">
        <v>219000</v>
      </c>
      <c r="E5" s="9" t="n">
        <v>138700</v>
      </c>
      <c r="G5" s="10" t="n">
        <v>89300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17239</v>
      </c>
      <c r="C10" s="14" t="n">
        <v>10207</v>
      </c>
      <c r="D10" s="14">
        <f>B10-C10</f>
        <v/>
      </c>
      <c r="E10" s="14">
        <f>D10+9000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20485</v>
      </c>
      <c r="C11" s="16" t="n">
        <v>12166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16467</v>
      </c>
      <c r="C12" s="14" t="n">
        <v>10604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16576</v>
      </c>
      <c r="C13" s="16" t="n">
        <v>12324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15126</v>
      </c>
      <c r="C14" s="14" t="n">
        <v>12431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20958</v>
      </c>
      <c r="C15" s="16" t="n">
        <v>12188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15824</v>
      </c>
      <c r="C16" s="14" t="n">
        <v>13039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17572</v>
      </c>
      <c r="C17" s="16" t="n">
        <v>9982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18204</v>
      </c>
      <c r="C18" s="14" t="n">
        <v>12715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20383</v>
      </c>
      <c r="C19" s="16" t="n">
        <v>13044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16449</v>
      </c>
      <c r="C20" s="14" t="n">
        <v>10068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15759</v>
      </c>
      <c r="C21" s="16" t="n">
        <v>10692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48545</v>
      </c>
    </row>
    <row r="42">
      <c r="A42" t="inlineStr">
        <is>
          <t>Alquiler</t>
        </is>
      </c>
      <c r="B42" t="n">
        <v>27740</v>
      </c>
    </row>
    <row r="43">
      <c r="A43" t="inlineStr">
        <is>
          <t>Insumos</t>
        </is>
      </c>
      <c r="B43" t="n">
        <v>24966</v>
      </c>
    </row>
    <row r="44">
      <c r="A44" t="inlineStr">
        <is>
          <t>Servicios</t>
        </is>
      </c>
      <c r="B44" t="n">
        <v>16644</v>
      </c>
    </row>
    <row r="45">
      <c r="A45" t="inlineStr">
        <is>
          <t>Marketing</t>
        </is>
      </c>
      <c r="B45" t="n">
        <v>11096</v>
      </c>
    </row>
    <row r="46">
      <c r="A46" t="inlineStr">
        <is>
          <t>Otros</t>
        </is>
      </c>
      <c r="B46" t="n">
        <v>9709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