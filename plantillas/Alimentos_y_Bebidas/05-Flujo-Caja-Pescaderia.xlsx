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PESCADERIA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27000</v>
      </c>
      <c r="C5" s="8" t="n">
        <v>657000</v>
      </c>
      <c r="E5" s="9" t="n">
        <v>474500</v>
      </c>
      <c r="G5" s="10" t="n">
        <v>209500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44325</v>
      </c>
      <c r="C10" s="14" t="n">
        <v>45641</v>
      </c>
      <c r="D10" s="14">
        <f>B10-C10</f>
        <v/>
      </c>
      <c r="E10" s="14">
        <f>D10+27000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61924</v>
      </c>
      <c r="C11" s="16" t="n">
        <v>34105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45419</v>
      </c>
      <c r="C12" s="14" t="n">
        <v>44190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57981</v>
      </c>
      <c r="C13" s="16" t="n">
        <v>36558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43527</v>
      </c>
      <c r="C14" s="14" t="n">
        <v>41822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45048</v>
      </c>
      <c r="C15" s="16" t="n">
        <v>38209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43661</v>
      </c>
      <c r="C16" s="14" t="n">
        <v>37795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51459</v>
      </c>
      <c r="C17" s="16" t="n">
        <v>33741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49542</v>
      </c>
      <c r="C18" s="14" t="n">
        <v>37433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57586</v>
      </c>
      <c r="C19" s="16" t="n">
        <v>40274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53548</v>
      </c>
      <c r="C20" s="14" t="n">
        <v>45310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59226</v>
      </c>
      <c r="C21" s="16" t="n">
        <v>44877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166075</v>
      </c>
    </row>
    <row r="42">
      <c r="A42" t="inlineStr">
        <is>
          <t>Alquiler</t>
        </is>
      </c>
      <c r="B42" t="n">
        <v>94900</v>
      </c>
    </row>
    <row r="43">
      <c r="A43" t="inlineStr">
        <is>
          <t>Insumos</t>
        </is>
      </c>
      <c r="B43" t="n">
        <v>85410</v>
      </c>
    </row>
    <row r="44">
      <c r="A44" t="inlineStr">
        <is>
          <t>Servicios</t>
        </is>
      </c>
      <c r="B44" t="n">
        <v>56940</v>
      </c>
    </row>
    <row r="45">
      <c r="A45" t="inlineStr">
        <is>
          <t>Marketing</t>
        </is>
      </c>
      <c r="B45" t="n">
        <v>37960</v>
      </c>
    </row>
    <row r="46">
      <c r="A46" t="inlineStr">
        <is>
          <t>Otros</t>
        </is>
      </c>
      <c r="B46" t="n">
        <v>33215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