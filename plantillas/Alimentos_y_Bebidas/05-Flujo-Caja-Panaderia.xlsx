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PANADERIA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9750</v>
      </c>
      <c r="C5" s="8" t="n">
        <v>237250</v>
      </c>
      <c r="E5" s="9" t="n">
        <v>153300</v>
      </c>
      <c r="G5" s="10" t="n">
        <v>93700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21260</v>
      </c>
      <c r="C10" s="14" t="n">
        <v>11578</v>
      </c>
      <c r="D10" s="14">
        <f>B10-C10</f>
        <v/>
      </c>
      <c r="E10" s="14">
        <f>D10+9750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23091</v>
      </c>
      <c r="C11" s="16" t="n">
        <v>12307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18276</v>
      </c>
      <c r="C12" s="14" t="n">
        <v>14843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16740</v>
      </c>
      <c r="C13" s="16" t="n">
        <v>13501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16469</v>
      </c>
      <c r="C14" s="14" t="n">
        <v>14500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23291</v>
      </c>
      <c r="C15" s="16" t="n">
        <v>15119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19543</v>
      </c>
      <c r="C16" s="14" t="n">
        <v>12360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19841</v>
      </c>
      <c r="C17" s="16" t="n">
        <v>12647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19101</v>
      </c>
      <c r="C18" s="14" t="n">
        <v>12580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21855</v>
      </c>
      <c r="C19" s="16" t="n">
        <v>11589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21223</v>
      </c>
      <c r="C20" s="14" t="n">
        <v>14756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15954</v>
      </c>
      <c r="C21" s="16" t="n">
        <v>13690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53655</v>
      </c>
    </row>
    <row r="42">
      <c r="A42" t="inlineStr">
        <is>
          <t>Alquiler</t>
        </is>
      </c>
      <c r="B42" t="n">
        <v>30660</v>
      </c>
    </row>
    <row r="43">
      <c r="A43" t="inlineStr">
        <is>
          <t>Insumos</t>
        </is>
      </c>
      <c r="B43" t="n">
        <v>27594</v>
      </c>
    </row>
    <row r="44">
      <c r="A44" t="inlineStr">
        <is>
          <t>Servicios</t>
        </is>
      </c>
      <c r="B44" t="n">
        <v>18396</v>
      </c>
    </row>
    <row r="45">
      <c r="A45" t="inlineStr">
        <is>
          <t>Marketing</t>
        </is>
      </c>
      <c r="B45" t="n">
        <v>12264</v>
      </c>
    </row>
    <row r="46">
      <c r="A46" t="inlineStr">
        <is>
          <t>Otros</t>
        </is>
      </c>
      <c r="B46" t="n">
        <v>10731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