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dora AFP-ON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6C5CE7"/>
        <bgColor rgb="006C5CE7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Desglose por Concepto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'Calculadora AFP-ONP'!D9</f>
            </strRef>
          </tx>
          <spPr>
            <a:solidFill>
              <a:srgbClr val="6C5CE7"/>
            </a:solidFill>
            <a:ln>
              <a:prstDash val="solid"/>
            </a:ln>
          </spPr>
          <cat>
            <numRef>
              <f>'Calculadora AFP-ONP'!$A$10:$A$18</f>
            </numRef>
          </cat>
          <val>
            <numRef>
              <f>'Calculadora AFP-ONP'!$D$10:$D$18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Composicion</a:t>
            </a:r>
          </a:p>
        </rich>
      </tx>
    </title>
    <plotArea>
      <pieChart>
        <varyColors val="1"/>
        <ser>
          <idx val="0"/>
          <order val="0"/>
          <tx>
            <strRef>
              <f>'Calculadora AFP-ONP'!B32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'Calculadora AFP-ONP'!$A$33:$A$37</f>
            </numRef>
          </cat>
          <val>
            <numRef>
              <f>'Calculadora AFP-ONP'!$B$33:$B$37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18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31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6C5CE7"/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CALCULADORA AFP-ONP — PIZZERIA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21600</v>
      </c>
      <c r="C5" s="8" t="n">
        <v>1800</v>
      </c>
      <c r="E5" s="9" t="n">
        <v>2340</v>
      </c>
      <c r="G5" s="10" t="n">
        <v>1260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CONCEPTO</t>
        </is>
      </c>
      <c r="B9" s="12" t="inlineStr">
        <is>
          <t>BASE S/</t>
        </is>
      </c>
      <c r="C9" s="12" t="inlineStr">
        <is>
          <t>PORCENTAJE</t>
        </is>
      </c>
      <c r="D9" s="12" t="inlineStr">
        <is>
          <t>MONTO S/</t>
        </is>
      </c>
      <c r="E9" s="12" t="inlineStr">
        <is>
          <t>ACUMULADO S/</t>
        </is>
      </c>
      <c r="F9" s="12" t="inlineStr">
        <is>
          <t>NOTA</t>
        </is>
      </c>
    </row>
    <row r="10">
      <c r="A10" s="13" t="inlineStr">
        <is>
          <t>Sueldo Basico</t>
        </is>
      </c>
      <c r="B10" s="14" t="n">
        <v>1800</v>
      </c>
      <c r="C10" s="15" t="n">
        <v>1</v>
      </c>
      <c r="D10" s="14">
        <f>B10*C10</f>
        <v/>
      </c>
      <c r="E10" s="14">
        <f>SUM(D10:D10)</f>
        <v/>
      </c>
      <c r="F10" s="13" t="inlineStr"/>
    </row>
    <row r="11">
      <c r="A11" s="16" t="inlineStr">
        <is>
          <t>Asignacion Familiar</t>
        </is>
      </c>
      <c r="B11" s="17" t="n">
        <v>1800</v>
      </c>
      <c r="C11" s="18" t="n">
        <v>0</v>
      </c>
      <c r="D11" s="17">
        <f>B11</f>
        <v/>
      </c>
      <c r="E11" s="17">
        <f>SUM(D10:D11)</f>
        <v/>
      </c>
      <c r="F11" s="16" t="inlineStr">
        <is>
          <t>9% RMV</t>
        </is>
      </c>
    </row>
    <row r="12">
      <c r="A12" s="13" t="inlineStr">
        <is>
          <t>Bonificacion</t>
        </is>
      </c>
      <c r="B12" s="14" t="n">
        <v>1800</v>
      </c>
      <c r="C12" s="15" t="n">
        <v>0</v>
      </c>
      <c r="D12" s="14">
        <f>B12</f>
        <v/>
      </c>
      <c r="E12" s="14">
        <f>SUM(D10:D12)</f>
        <v/>
      </c>
      <c r="F12" s="13" t="inlineStr"/>
    </row>
    <row r="13">
      <c r="A13" s="16" t="inlineStr">
        <is>
          <t>Horas Extra</t>
        </is>
      </c>
      <c r="B13" s="17" t="n">
        <v>1800</v>
      </c>
      <c r="C13" s="18" t="n">
        <v>0</v>
      </c>
      <c r="D13" s="17">
        <f>B13</f>
        <v/>
      </c>
      <c r="E13" s="17">
        <f>SUM(D10:D13)</f>
        <v/>
      </c>
      <c r="F13" s="16" t="inlineStr">
        <is>
          <t>25%/35%</t>
        </is>
      </c>
    </row>
    <row r="14">
      <c r="A14" s="13" t="inlineStr">
        <is>
          <t>Comision</t>
        </is>
      </c>
      <c r="B14" s="14" t="n">
        <v>1800</v>
      </c>
      <c r="C14" s="15" t="n">
        <v>0</v>
      </c>
      <c r="D14" s="14">
        <f>B14</f>
        <v/>
      </c>
      <c r="E14" s="14">
        <f>SUM(D10:D14)</f>
        <v/>
      </c>
      <c r="F14" s="13" t="inlineStr"/>
    </row>
    <row r="15">
      <c r="A15" s="16" t="inlineStr">
        <is>
          <t>AFP (10%)</t>
        </is>
      </c>
      <c r="B15" s="17" t="n">
        <v>1800</v>
      </c>
      <c r="C15" s="18" t="n">
        <v>0.1</v>
      </c>
      <c r="D15" s="17">
        <f>B15*C15</f>
        <v/>
      </c>
      <c r="E15" s="17">
        <f>SUM(D10:D15)</f>
        <v/>
      </c>
      <c r="F15" s="16" t="inlineStr">
        <is>
          <t>Obligatorio</t>
        </is>
      </c>
    </row>
    <row r="16">
      <c r="A16" s="13" t="inlineStr">
        <is>
          <t>ONP (13%)</t>
        </is>
      </c>
      <c r="B16" s="14" t="n">
        <v>1800</v>
      </c>
      <c r="C16" s="15" t="n">
        <v>0.13</v>
      </c>
      <c r="D16" s="14">
        <f>B16*C16</f>
        <v/>
      </c>
      <c r="E16" s="14">
        <f>SUM(D10:D16)</f>
        <v/>
      </c>
      <c r="F16" s="13" t="inlineStr">
        <is>
          <t>Obligatorio</t>
        </is>
      </c>
    </row>
    <row r="17">
      <c r="A17" s="16" t="inlineStr">
        <is>
          <t>EsSalud (9%)</t>
        </is>
      </c>
      <c r="B17" s="17" t="n">
        <v>1800</v>
      </c>
      <c r="C17" s="18" t="n">
        <v>0.09</v>
      </c>
      <c r="D17" s="17">
        <f>B17*C17</f>
        <v/>
      </c>
      <c r="E17" s="17">
        <f>SUM(D10:D17)</f>
        <v/>
      </c>
      <c r="F17" s="16" t="inlineStr">
        <is>
          <t>Empleador</t>
        </is>
      </c>
    </row>
    <row r="18">
      <c r="A18" s="13" t="inlineStr">
        <is>
          <t>Total</t>
        </is>
      </c>
      <c r="B18" s="14" t="n">
        <v>1800</v>
      </c>
      <c r="C18" s="15" t="n">
        <v>0</v>
      </c>
      <c r="D18" s="14">
        <f>SUM(D10:D17)</f>
        <v/>
      </c>
      <c r="E18" s="14">
        <f>SUM(D10:D18)</f>
        <v/>
      </c>
      <c r="F18" s="13" t="inlineStr"/>
    </row>
    <row r="32">
      <c r="A32" s="19" t="inlineStr">
        <is>
          <t>CONCEPTO</t>
        </is>
      </c>
      <c r="B32" s="19" t="inlineStr">
        <is>
          <t>MONTO</t>
        </is>
      </c>
    </row>
    <row r="33">
      <c r="A33" t="inlineStr">
        <is>
          <t>Sueldo Basico</t>
        </is>
      </c>
      <c r="B33" t="n">
        <v>551</v>
      </c>
    </row>
    <row r="34">
      <c r="A34" t="inlineStr">
        <is>
          <t>Asignacion Familiar</t>
        </is>
      </c>
      <c r="B34" t="n">
        <v>730</v>
      </c>
    </row>
    <row r="35">
      <c r="A35" t="inlineStr">
        <is>
          <t>Bonificacion</t>
        </is>
      </c>
      <c r="B35" t="n">
        <v>751</v>
      </c>
    </row>
    <row r="36">
      <c r="A36" t="inlineStr">
        <is>
          <t>Horas Extra</t>
        </is>
      </c>
      <c r="B36" t="n">
        <v>332</v>
      </c>
    </row>
    <row r="37">
      <c r="A37" t="inlineStr">
        <is>
          <t>Comision</t>
        </is>
      </c>
      <c r="B37" t="n">
        <v>1483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8">
    <cfRule type="cellIs" priority="1" operator="greaterThan" dxfId="0">
      <formula>0</formula>
    </cfRule>
    <cfRule type="cellIs" priority="2" operator="lessThan" dxfId="1">
      <formula>0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2026-09-01T00:20:39Z</dcterms:created>
  <dcterms:modified xsi:type="dcterms:W3CDTF">2026-09-01T00:20:39Z</dcterms:modified>
</cp:coreProperties>
</file>