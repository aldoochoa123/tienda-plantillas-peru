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'Planilla'!$A$39:$A$40</f>
            </numRef>
          </cat>
          <val>
            <numRef>
              <f>'Planilla'!$B$39:$B$40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'Planilla'!$D$10:$D$21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'Planilla'!$E$10:$E$21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'Planilla'!$F$10:$F$21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'Planilla'!$G$10:$G$21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'Planilla'!$H$10:$H$21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'Planilla'!$I$10:$I$21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'Planilla'!$J$10:$J$21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41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RESTAURANTE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12</v>
      </c>
      <c r="C5" s="8" t="n">
        <v>984</v>
      </c>
      <c r="E5" s="9" t="n">
        <v>88</v>
      </c>
      <c r="G5" s="10" t="n">
        <v>1072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15135638</t>
        </is>
      </c>
      <c r="C10" s="13" t="inlineStr">
        <is>
          <t>Gerente</t>
        </is>
      </c>
      <c r="D10" s="14" t="n">
        <v>432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150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90871683</t>
        </is>
      </c>
      <c r="C11" s="15" t="inlineStr">
        <is>
          <t>Vendedor</t>
        </is>
      </c>
      <c r="D11" s="16" t="n">
        <v>185</v>
      </c>
      <c r="E11" s="16">
        <f>D11*0.10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100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97024483</t>
        </is>
      </c>
      <c r="C12" s="13" t="inlineStr">
        <is>
          <t>Cajero</t>
        </is>
      </c>
      <c r="D12" s="14" t="n">
        <v>-53</v>
      </c>
      <c r="E12" s="14">
        <f>D12*0.10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200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60551775</t>
        </is>
      </c>
      <c r="C13" s="15" t="inlineStr">
        <is>
          <t>Almacenero</t>
        </is>
      </c>
      <c r="D13" s="16" t="n">
        <v>347</v>
      </c>
      <c r="E13" s="16">
        <f>D13*0.10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100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37831337</t>
        </is>
      </c>
      <c r="C14" s="13" t="inlineStr">
        <is>
          <t>Contador</t>
        </is>
      </c>
      <c r="D14" s="14" t="n">
        <v>3</v>
      </c>
      <c r="E14" s="14">
        <f>D14*0.10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100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60115120</t>
        </is>
      </c>
      <c r="C15" s="15" t="inlineStr">
        <is>
          <t>Motorizado</t>
        </is>
      </c>
      <c r="D15" s="16" t="n">
        <v>150</v>
      </c>
      <c r="E15" s="16">
        <f>D15*0.13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200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29158227</t>
        </is>
      </c>
      <c r="C16" s="13" t="inlineStr">
        <is>
          <t>Seguridad</t>
        </is>
      </c>
      <c r="D16" s="14" t="n">
        <v>132</v>
      </c>
      <c r="E16" s="14">
        <f>D16*0.13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150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18101918</t>
        </is>
      </c>
      <c r="C17" s="15" t="inlineStr">
        <is>
          <t>Limpieza</t>
        </is>
      </c>
      <c r="D17" s="16" t="n">
        <v>363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150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41567281</t>
        </is>
      </c>
      <c r="C18" s="13" t="inlineStr">
        <is>
          <t>Auxiliar</t>
        </is>
      </c>
      <c r="D18" s="14" t="n">
        <v>2</v>
      </c>
      <c r="E18" s="14">
        <f>D18*0.10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100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12859752</t>
        </is>
      </c>
      <c r="C19" s="15" t="inlineStr">
        <is>
          <t>Supervisor</t>
        </is>
      </c>
      <c r="D19" s="16" t="n">
        <v>154</v>
      </c>
      <c r="E19" s="16">
        <f>D19*0.13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200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83582213</t>
        </is>
      </c>
      <c r="C20" s="13" t="inlineStr">
        <is>
          <t>Analista</t>
        </is>
      </c>
      <c r="D20" s="14" t="n">
        <v>101</v>
      </c>
      <c r="E20" s="14">
        <f>D20*0.10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200</v>
      </c>
      <c r="L20" s="14">
        <f>D20+F20+H20+I20+J20+K20</f>
        <v/>
      </c>
      <c r="M20" s="14">
        <f>E20</f>
        <v/>
      </c>
    </row>
    <row r="21">
      <c r="A21" s="15" t="inlineStr">
        <is>
          <t>Patricia Vargas</t>
        </is>
      </c>
      <c r="B21" s="15" t="inlineStr">
        <is>
          <t>59664352</t>
        </is>
      </c>
      <c r="C21" s="15" t="inlineStr">
        <is>
          <t>Tecnico</t>
        </is>
      </c>
      <c r="D21" s="16" t="n">
        <v>304</v>
      </c>
      <c r="E21" s="16">
        <f>D21*0.10</f>
        <v/>
      </c>
      <c r="F21" s="16">
        <f>D21*0.09</f>
        <v/>
      </c>
      <c r="G21" s="16">
        <f>D21-E21</f>
        <v/>
      </c>
      <c r="H21" s="16">
        <f>D21/12</f>
        <v/>
      </c>
      <c r="I21" s="16">
        <f>D21/6</f>
        <v/>
      </c>
      <c r="J21" s="16">
        <f>D21/12</f>
        <v/>
      </c>
      <c r="K21" s="16" t="n">
        <v>0</v>
      </c>
      <c r="L21" s="16">
        <f>D21+F21+H21+I21+J21+K21</f>
        <v/>
      </c>
      <c r="M21" s="16">
        <f>E21</f>
        <v/>
      </c>
    </row>
    <row r="22">
      <c r="A22" s="17" t="inlineStr">
        <is>
          <t>TOTALES</t>
        </is>
      </c>
      <c r="D22" s="18">
        <f>SUM(D10:D21)</f>
        <v/>
      </c>
      <c r="E22" s="18">
        <f>SUM(E10:E21)</f>
        <v/>
      </c>
      <c r="F22" s="18">
        <f>SUM(F10:F21)</f>
        <v/>
      </c>
      <c r="G22" s="18">
        <f>SUM(G10:G21)</f>
        <v/>
      </c>
      <c r="H22" s="18">
        <f>SUM(H10:H21)</f>
        <v/>
      </c>
      <c r="I22" s="18">
        <f>SUM(I10:I21)</f>
        <v/>
      </c>
      <c r="J22" s="18">
        <f>SUM(J10:J21)</f>
        <v/>
      </c>
      <c r="K22" s="18">
        <f>SUM(K10:K21)</f>
        <v/>
      </c>
      <c r="L22" s="18">
        <f>SUM(L10:L21)</f>
        <v/>
      </c>
      <c r="M22" s="18">
        <f>SUM(M10:M21)</f>
        <v/>
      </c>
    </row>
    <row r="38">
      <c r="A38" s="19" t="inlineStr">
        <is>
          <t>REGIMEN</t>
        </is>
      </c>
      <c r="B38" s="19" t="inlineStr">
        <is>
          <t>CANTIDAD</t>
        </is>
      </c>
    </row>
    <row r="39">
      <c r="A39" t="inlineStr">
        <is>
          <t>AFP</t>
        </is>
      </c>
      <c r="B39" t="n">
        <v>5</v>
      </c>
    </row>
    <row r="40">
      <c r="A40" t="inlineStr">
        <is>
          <t>ONP</t>
        </is>
      </c>
      <c r="B40" t="n">
        <v>7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Restaurante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82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2026-09-01T00:20:37Z</dcterms:created>
  <dcterms:modified xsi:type="dcterms:W3CDTF">2026-09-01T00:20:37Z</dcterms:modified>
</cp:coreProperties>
</file>