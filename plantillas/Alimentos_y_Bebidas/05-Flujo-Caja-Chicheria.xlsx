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CHICHERIA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</v>
      </c>
      <c r="C5" s="8" t="n">
        <v>146000</v>
      </c>
      <c r="E5" s="9" t="n">
        <v>91250</v>
      </c>
      <c r="G5" s="10" t="n">
        <v>60750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9906</v>
      </c>
      <c r="C10" s="14" t="n">
        <v>6485</v>
      </c>
      <c r="D10" s="14">
        <f>B10-C10</f>
        <v/>
      </c>
      <c r="E10" s="14">
        <f>D10+6000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9818</v>
      </c>
      <c r="C11" s="16" t="n">
        <v>8851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12735</v>
      </c>
      <c r="C12" s="14" t="n">
        <v>8973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11120</v>
      </c>
      <c r="C13" s="16" t="n">
        <v>8097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9795</v>
      </c>
      <c r="C14" s="14" t="n">
        <v>7537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12194</v>
      </c>
      <c r="C15" s="16" t="n">
        <v>7212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10236</v>
      </c>
      <c r="C16" s="14" t="n">
        <v>7341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14353</v>
      </c>
      <c r="C17" s="16" t="n">
        <v>7813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10853</v>
      </c>
      <c r="C18" s="14" t="n">
        <v>8559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13102</v>
      </c>
      <c r="C19" s="16" t="n">
        <v>7649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12389</v>
      </c>
      <c r="C20" s="14" t="n">
        <v>6996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12135</v>
      </c>
      <c r="C21" s="16" t="n">
        <v>6546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31937</v>
      </c>
    </row>
    <row r="42">
      <c r="A42" t="inlineStr">
        <is>
          <t>Alquiler</t>
        </is>
      </c>
      <c r="B42" t="n">
        <v>18250</v>
      </c>
    </row>
    <row r="43">
      <c r="A43" t="inlineStr">
        <is>
          <t>Insumos</t>
        </is>
      </c>
      <c r="B43" t="n">
        <v>16425</v>
      </c>
    </row>
    <row r="44">
      <c r="A44" t="inlineStr">
        <is>
          <t>Servicios</t>
        </is>
      </c>
      <c r="B44" t="n">
        <v>10950</v>
      </c>
    </row>
    <row r="45">
      <c r="A45" t="inlineStr">
        <is>
          <t>Marketing</t>
        </is>
      </c>
      <c r="B45" t="n">
        <v>7300</v>
      </c>
    </row>
    <row r="46">
      <c r="A46" t="inlineStr">
        <is>
          <t>Otros</t>
        </is>
      </c>
      <c r="B46" t="n">
        <v>6387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